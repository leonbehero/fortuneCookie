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I:\Asian Support Department\Customer Services Deputy Manager (Asian)\3_Reports\Team Development Hub\"/>
    </mc:Choice>
  </mc:AlternateContent>
  <bookViews>
    <workbookView xWindow="30075" yWindow="-120" windowWidth="29040" windowHeight="15990" tabRatio="604" firstSheet="1" activeTab="1"/>
  </bookViews>
  <sheets>
    <sheet name="All Contacts" sheetId="17" state="hidden" r:id="rId1"/>
    <sheet name="Dashboard" sheetId="6" r:id="rId2"/>
    <sheet name="Performance Stats" sheetId="12" r:id="rId3"/>
    <sheet name="TD Planner" sheetId="1" r:id="rId4"/>
    <sheet name="New Bonus File" sheetId="7" state="hidden" r:id="rId5"/>
    <sheet name="Staffs" sheetId="3" state="hidden" r:id="rId6"/>
    <sheet name="Existing Bonus File" sheetId="8" r:id="rId7"/>
    <sheet name="TeamLeader" sheetId="9" state="hidden" r:id="rId8"/>
    <sheet name="Supervisor" sheetId="10" state="hidden" r:id="rId9"/>
    <sheet name="ColumnName" sheetId="4" state="hidden" r:id="rId10"/>
    <sheet name="Employee Management" sheetId="5" r:id="rId11"/>
    <sheet name="Configuration" sheetId="2" state="hidden" r:id="rId12"/>
    <sheet name="Sheet1" sheetId="11" state="hidden" r:id="rId13"/>
    <sheet name="Sheet2" sheetId="16" state="hidden" r:id="rId14"/>
    <sheet name="Email Content" sheetId="13" state="hidden" r:id="rId15"/>
    <sheet name="EmailAddress" sheetId="15" state="hidden" r:id="rId16"/>
    <sheet name="Urgent Escalation" sheetId="14" r:id="rId17"/>
    <sheet name="PDP" sheetId="18" r:id="rId18"/>
    <sheet name="Meeting Log" sheetId="19" r:id="rId19"/>
  </sheets>
  <functionGroups builtInGroupCount="18"/>
  <externalReferences>
    <externalReference r:id="rId20"/>
  </externalReferences>
  <definedNames>
    <definedName name="Band">Configuration!$Q$1:$Q$4</definedName>
    <definedName name="ContactMethod">Configuration!$K$1:$K$3</definedName>
    <definedName name="DashboardPeriod">Dashboard!$AQ$5</definedName>
    <definedName name="DashboardSupervisor">Dashboard!$AM$5</definedName>
    <definedName name="DashboardYear">Dashboard!$AO$5</definedName>
    <definedName name="EmailUrgentEscalationMeetingFile">'Email Content'!$A$6</definedName>
    <definedName name="EmailUrgentEscalationReviewFile">'Email Content'!$A$22</definedName>
    <definedName name="EmployeeBandAFile">'Employee Management'!$I$9</definedName>
    <definedName name="EmployeeBandAFileLink">'Employee Management'!$N$9</definedName>
    <definedName name="EmployeeBandBFile">'Employee Management'!$I$12</definedName>
    <definedName name="EmployeeBandBFileLink">'Employee Management'!$N$12</definedName>
    <definedName name="EmployeeBanding">'Employee Management'!$N$3</definedName>
    <definedName name="EmployeeCToolName">'Employee Management'!$N$3</definedName>
    <definedName name="EmployeeName">'Employee Management'!$H$3</definedName>
    <definedName name="EmployeePeriod">'Employee Management'!$K$20</definedName>
    <definedName name="EmployeeRole">'Employee Management'!$H$7</definedName>
    <definedName name="EmployeeShift">'Employee Management'!$K$7</definedName>
    <definedName name="EmployeeStaffLogFile">'Employee Management'!$H$15</definedName>
    <definedName name="EmployeeStaffLogLink">'Employee Management'!$H$17</definedName>
    <definedName name="EmployeeSUP" localSheetId="2">'Performance Stats'!$L$5</definedName>
    <definedName name="EmployeeSUP">'Employee Management'!$K$5</definedName>
    <definedName name="EmployeeTeam">'Employee Management'!$N$7</definedName>
    <definedName name="EmployeeTL">'Employee Management'!$N$5</definedName>
    <definedName name="EmployeeUsername">'Employee Management'!$K$3</definedName>
    <definedName name="EmployeeVerintName">'Employee Management'!$H$5</definedName>
    <definedName name="EmployeeYear">'Employee Management'!$H$20</definedName>
    <definedName name="EscalationActionPlan">'Urgent Escalation'!#REF!</definedName>
    <definedName name="EscalationActionTaken">'Urgent Escalation'!$E$22</definedName>
    <definedName name="EscalationActionTakenBy">'Urgent Escalation'!$H$22</definedName>
    <definedName name="EscalationAdvisorName">'Urgent Escalation'!$H$7</definedName>
    <definedName name="EscalationAdvisorSearch">'Urgent Escalation'!$P$3</definedName>
    <definedName name="EscalationCaseID">'Urgent Escalation'!$Y$3</definedName>
    <definedName name="EscalationContactDate">'Urgent Escalation'!$H$6</definedName>
    <definedName name="EscalationContactID">'Urgent Escalation'!$E$7</definedName>
    <definedName name="EscalationExpectation">'Urgent Escalation'!$E$25</definedName>
    <definedName name="EscalationID">'Urgent Escalation'!$E$5</definedName>
    <definedName name="EscalationMeetingFile">'Urgent Escalation'!$E$31</definedName>
    <definedName name="EscalationMeetingLink">'Urgent Escalation'!$E$32</definedName>
    <definedName name="EscalationReason">'Urgent Escalation'!$H$5</definedName>
    <definedName name="EscalationReasonforAction">'Urgent Escalation'!$E$24</definedName>
    <definedName name="EscalationReviewFile">'Urgent Escalation'!$E$15</definedName>
    <definedName name="EscalationReviewLink">'Urgent Escalation'!$E$16</definedName>
    <definedName name="EscalationReviewOutcome">'Urgent Escalation'!$E$14</definedName>
    <definedName name="EscalationSupervisor">'Urgent Escalation'!#REF!</definedName>
    <definedName name="EscalationTeamLeader">'Urgent Escalation'!$K$6</definedName>
    <definedName name="EscalationTLSearch">'Urgent Escalation'!$T$3</definedName>
    <definedName name="EscalationUsername">'Urgent Escalation'!$E$6</definedName>
    <definedName name="ExistingTL">'Existing Bonus File'!$M$5</definedName>
    <definedName name="InitalPeriod">Configuration!$Y$2</definedName>
    <definedName name="InitialDate">Configuration!$Y$1</definedName>
    <definedName name="InitialYear">Configuration!$Y$3</definedName>
    <definedName name="LoginName">Dashboard!$AE$1</definedName>
    <definedName name="MainPeriod">Dashboard!$I$5</definedName>
    <definedName name="MainSupervisor">Dashboard!$E$5</definedName>
    <definedName name="MainYear">Dashboard!$G$5</definedName>
    <definedName name="MeetingAdvisor">'Meeting Log'!$E$5</definedName>
    <definedName name="MeetingCate">'Meeting Log'!$E$6</definedName>
    <definedName name="MeetingCategory">Configuration!$H$1:$H$7</definedName>
    <definedName name="MeetingComment">'Meeting Log'!$E$7</definedName>
    <definedName name="MeetingDate">'Meeting Log'!$H$5</definedName>
    <definedName name="MeetingExpireDate">'Meeting Log'!$U$3</definedName>
    <definedName name="MeetingFile">'Meeting Log'!$E$8</definedName>
    <definedName name="MeetingHistoricalName">'Meeting Log'!$E$14</definedName>
    <definedName name="MeetingHistoricalTL">'Meeting Log'!$J$14</definedName>
    <definedName name="MeetingHost">'Meeting Log'!$K$6</definedName>
    <definedName name="MeetingID">'Meeting Log'!$G$9</definedName>
    <definedName name="MeetingLink">'Meeting Log'!$E$9</definedName>
    <definedName name="MeetingRoom">'Meeting Log'!$H$6</definedName>
    <definedName name="MeetingSearchID">'Meeting Log'!$O$3</definedName>
    <definedName name="MeetingTime">'Meeting Log'!$K$5</definedName>
    <definedName name="NewAdvisor">'New Bonus File'!$E$5</definedName>
    <definedName name="NewBanding">'New Bonus File'!$M$6</definedName>
    <definedName name="NewFileName">'New Bonus File'!$E$10</definedName>
    <definedName name="NewFolder">'New Bonus File'!$E$8</definedName>
    <definedName name="NewLineTL">'New Bonus File'!$M$5</definedName>
    <definedName name="NewLink">'New Bonus File'!$I$10</definedName>
    <definedName name="NewPeriod">'New Bonus File'!$I$6</definedName>
    <definedName name="NewSupervisor">'New Bonus File'!$I$5</definedName>
    <definedName name="NewTDDate">'TD Planner'!$H$8</definedName>
    <definedName name="NewTDEndTime">'TD Planner'!$N$8</definedName>
    <definedName name="NewTDID">'TD Planner'!$R$8</definedName>
    <definedName name="NewTDName">'TD Planner'!$R$1</definedName>
    <definedName name="NewTDSlot">'TD Planner'!$J$8</definedName>
    <definedName name="NewTDStartTime">'TD Planner'!$L$8</definedName>
    <definedName name="NewTDWeekDate">'TD Planner'!$F$3</definedName>
    <definedName name="NewTL">'TD Planner'!$F$8</definedName>
    <definedName name="NewYear">'New Bonus File'!$E$6</definedName>
    <definedName name="OAdvisor">'Existing Bonus File'!$E$5</definedName>
    <definedName name="OBanding">'Existing Bonus File'!$M$6</definedName>
    <definedName name="OFile">'Existing Bonus File'!$E$10</definedName>
    <definedName name="OFolder">'Existing Bonus File'!$E$8</definedName>
    <definedName name="OLink">'Existing Bonus File'!$I$10</definedName>
    <definedName name="OPeriod">'Existing Bonus File'!$I$6</definedName>
    <definedName name="OSupervisor">'Existing Bonus File'!$I$5</definedName>
    <definedName name="OYear">'Existing Bonus File'!$E$6</definedName>
    <definedName name="PDPAdvisor">PDP!$E$5</definedName>
    <definedName name="PDPArea">PDP!$E$6</definedName>
    <definedName name="PDPDate">PDP!$K$6</definedName>
    <definedName name="PDPFile">PDP!$E$7</definedName>
    <definedName name="PDPHistoricalName">PDP!$E$13</definedName>
    <definedName name="PDPHistoricalTL">PDP!$I$13</definedName>
    <definedName name="PDPID">PDP!$G$8</definedName>
    <definedName name="PDPLink">PDP!$E$8</definedName>
    <definedName name="PDPSearchID">PDP!$O$3</definedName>
    <definedName name="PDPSouce">PDP!$H$5</definedName>
    <definedName name="PDPSource">Configuration!$W$1:$W$5</definedName>
    <definedName name="PDPStatus">PDP!$K$5</definedName>
    <definedName name="PerformanceStatsPeriod">'Performance Stats'!$K$7</definedName>
    <definedName name="PerformanceStatsSupervisor">'Performance Stats'!$N$7</definedName>
    <definedName name="PerformanceStatsYear">'Performance Stats'!$H$7</definedName>
    <definedName name="Periods">Configuration!$P$1:$P$4</definedName>
    <definedName name="Shift">Configuration!$N$1:$N$2</definedName>
    <definedName name="StaffLogLink">'Employee Management'!$H$17</definedName>
    <definedName name="Statues">Configuration!$AE$1:$AE$2</definedName>
    <definedName name="TDDate">Configuration!$F$1:$F$7</definedName>
    <definedName name="UrgentDevelopArea">'Urgent Escalation'!$E$38</definedName>
    <definedName name="UrgentEscalationContactMethod">'Urgent Escalation'!$F$56</definedName>
    <definedName name="UrgentEscalationDefaultDate">'Urgent Escalation'!$Y$1</definedName>
    <definedName name="UrgentEscalationDefaultID">'Urgent Escalation'!$Z$1</definedName>
    <definedName name="UrgentEscalationOutput">'Urgent Escalation'!$D$58</definedName>
    <definedName name="UrgentPDPDate">'Urgent Escalation'!$K$38</definedName>
    <definedName name="UrgentPDPFile">'Urgent Escalation'!$E$39</definedName>
    <definedName name="UrgentPDPID">'Urgent Escalation'!$G$40</definedName>
    <definedName name="UrgentPDPLink">'Urgent Escalation'!$E$40</definedName>
    <definedName name="UrgentPDPSource">'Urgent Escalation'!$E$37</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69" i="5" l="1"/>
  <c r="R72" i="5" s="1"/>
  <c r="P69" i="5"/>
  <c r="R70" i="5" s="1"/>
  <c r="N69" i="5"/>
  <c r="O72" i="5" s="1"/>
  <c r="M69" i="5"/>
  <c r="O70" i="5" s="1"/>
  <c r="K69" i="5"/>
  <c r="J72" i="5" s="1"/>
  <c r="J69" i="5"/>
  <c r="J70" i="5" s="1"/>
  <c r="H69" i="5"/>
  <c r="I72" i="5" s="1"/>
  <c r="G69" i="5"/>
  <c r="I70" i="5" s="1"/>
  <c r="P48" i="5"/>
  <c r="P47" i="5"/>
  <c r="M47" i="5"/>
  <c r="N71" i="5" s="1"/>
  <c r="J47" i="5"/>
  <c r="G47" i="5"/>
  <c r="I67" i="5" s="1"/>
  <c r="E47" i="5"/>
  <c r="Q43" i="5"/>
  <c r="R46" i="5" s="1"/>
  <c r="P43" i="5"/>
  <c r="R44" i="5" s="1"/>
  <c r="N43" i="5"/>
  <c r="O46" i="5" s="1"/>
  <c r="M43" i="5"/>
  <c r="O44" i="5" s="1"/>
  <c r="K43" i="5"/>
  <c r="L46" i="5" s="1"/>
  <c r="J43" i="5"/>
  <c r="L44" i="5" s="1"/>
  <c r="H43" i="5"/>
  <c r="G46" i="5" s="1"/>
  <c r="G43" i="5"/>
  <c r="G44" i="5" s="1"/>
  <c r="P22" i="5"/>
  <c r="P21" i="5"/>
  <c r="R45" i="5" s="1"/>
  <c r="M21" i="5"/>
  <c r="N41" i="5" s="1"/>
  <c r="J21" i="5"/>
  <c r="G21" i="5"/>
  <c r="G41" i="5" s="1"/>
  <c r="K45" i="5" l="1"/>
  <c r="L29" i="5"/>
  <c r="L30" i="5"/>
  <c r="J67" i="5"/>
  <c r="L55" i="5"/>
  <c r="L56" i="5"/>
  <c r="R67" i="5"/>
  <c r="R55" i="5"/>
  <c r="H25" i="5"/>
  <c r="O26" i="5"/>
  <c r="G29" i="5"/>
  <c r="K44" i="5"/>
  <c r="P44" i="5"/>
  <c r="K72" i="5"/>
  <c r="O30" i="5"/>
  <c r="O35" i="5"/>
  <c r="G26" i="5"/>
  <c r="H33" i="5"/>
  <c r="P30" i="5"/>
  <c r="H27" i="5"/>
  <c r="P38" i="5"/>
  <c r="H36" i="5"/>
  <c r="Q27" i="5"/>
  <c r="G40" i="5"/>
  <c r="G22" i="5"/>
  <c r="G32" i="5"/>
  <c r="O36" i="5"/>
  <c r="O40" i="5"/>
  <c r="R52" i="5"/>
  <c r="N56" i="5"/>
  <c r="J61" i="5"/>
  <c r="R63" i="5"/>
  <c r="N67" i="5"/>
  <c r="O27" i="5"/>
  <c r="O32" i="5"/>
  <c r="P36" i="5"/>
  <c r="H41" i="5"/>
  <c r="O45" i="5"/>
  <c r="G48" i="5"/>
  <c r="K53" i="5"/>
  <c r="G58" i="5"/>
  <c r="O61" i="5"/>
  <c r="K64" i="5"/>
  <c r="G68" i="5"/>
  <c r="G37" i="5"/>
  <c r="O41" i="5"/>
  <c r="K46" i="5"/>
  <c r="N53" i="5"/>
  <c r="J58" i="5"/>
  <c r="R61" i="5"/>
  <c r="N64" i="5"/>
  <c r="J68" i="5"/>
  <c r="O37" i="5"/>
  <c r="P41" i="5"/>
  <c r="P46" i="5"/>
  <c r="K51" i="5"/>
  <c r="G55" i="5"/>
  <c r="O58" i="5"/>
  <c r="K62" i="5"/>
  <c r="G66" i="5"/>
  <c r="O68" i="5"/>
  <c r="O33" i="5"/>
  <c r="O25" i="5"/>
  <c r="O29" i="5"/>
  <c r="Q33" i="5"/>
  <c r="H38" i="5"/>
  <c r="G42" i="5"/>
  <c r="N51" i="5"/>
  <c r="J55" i="5"/>
  <c r="R58" i="5"/>
  <c r="N62" i="5"/>
  <c r="J66" i="5"/>
  <c r="R68" i="5"/>
  <c r="Q25" i="5"/>
  <c r="H30" i="5"/>
  <c r="G35" i="5"/>
  <c r="O38" i="5"/>
  <c r="O42" i="5"/>
  <c r="G52" i="5"/>
  <c r="O55" i="5"/>
  <c r="K59" i="5"/>
  <c r="G63" i="5"/>
  <c r="O66" i="5"/>
  <c r="K70" i="5"/>
  <c r="H44" i="5"/>
  <c r="J52" i="5"/>
  <c r="N59" i="5"/>
  <c r="J63" i="5"/>
  <c r="R66" i="5"/>
  <c r="O71" i="5"/>
  <c r="M71" i="5" s="1"/>
  <c r="O52" i="5"/>
  <c r="K56" i="5"/>
  <c r="G61" i="5"/>
  <c r="O63" i="5"/>
  <c r="K67" i="5"/>
  <c r="L37" i="5"/>
  <c r="I44" i="5"/>
  <c r="Q44" i="5"/>
  <c r="I46" i="5"/>
  <c r="Q46" i="5"/>
  <c r="J48" i="5"/>
  <c r="L51" i="5"/>
  <c r="H52" i="5"/>
  <c r="L53" i="5"/>
  <c r="H55" i="5"/>
  <c r="P55" i="5"/>
  <c r="Q55" i="5" s="1"/>
  <c r="H58" i="5"/>
  <c r="P58" i="5"/>
  <c r="Q58" i="5" s="1"/>
  <c r="L59" i="5"/>
  <c r="H61" i="5"/>
  <c r="L62" i="5"/>
  <c r="H63" i="5"/>
  <c r="P63" i="5"/>
  <c r="Q63" i="5" s="1"/>
  <c r="L64" i="5"/>
  <c r="H66" i="5"/>
  <c r="P66" i="5"/>
  <c r="Q66" i="5" s="1"/>
  <c r="L67" i="5"/>
  <c r="H68" i="5"/>
  <c r="P68" i="5"/>
  <c r="L70" i="5"/>
  <c r="H71" i="5"/>
  <c r="L72" i="5"/>
  <c r="L35" i="5"/>
  <c r="I25" i="5"/>
  <c r="M26" i="5"/>
  <c r="I27" i="5"/>
  <c r="M29" i="5"/>
  <c r="I30" i="5"/>
  <c r="M32" i="5"/>
  <c r="I33" i="5"/>
  <c r="M35" i="5"/>
  <c r="I36" i="5"/>
  <c r="M37" i="5"/>
  <c r="I38" i="5"/>
  <c r="M40" i="5"/>
  <c r="I41" i="5"/>
  <c r="M42" i="5"/>
  <c r="J25" i="5"/>
  <c r="R25" i="5"/>
  <c r="P25" i="5" s="1"/>
  <c r="N26" i="5"/>
  <c r="J27" i="5"/>
  <c r="R27" i="5"/>
  <c r="P27" i="5" s="1"/>
  <c r="N29" i="5"/>
  <c r="J30" i="5"/>
  <c r="R30" i="5"/>
  <c r="Q30" i="5" s="1"/>
  <c r="N32" i="5"/>
  <c r="J33" i="5"/>
  <c r="R33" i="5"/>
  <c r="P33" i="5" s="1"/>
  <c r="N35" i="5"/>
  <c r="J36" i="5"/>
  <c r="R36" i="5"/>
  <c r="Q36" i="5" s="1"/>
  <c r="N37" i="5"/>
  <c r="J38" i="5"/>
  <c r="R38" i="5"/>
  <c r="Q38" i="5" s="1"/>
  <c r="N40" i="5"/>
  <c r="J41" i="5"/>
  <c r="R41" i="5"/>
  <c r="Q41" i="5" s="1"/>
  <c r="N42" i="5"/>
  <c r="J44" i="5"/>
  <c r="N45" i="5"/>
  <c r="M45" i="5" s="1"/>
  <c r="J46" i="5"/>
  <c r="M48" i="5"/>
  <c r="M51" i="5"/>
  <c r="I52" i="5"/>
  <c r="Q52" i="5"/>
  <c r="P52" i="5" s="1"/>
  <c r="M53" i="5"/>
  <c r="I55" i="5"/>
  <c r="M56" i="5"/>
  <c r="I58" i="5"/>
  <c r="M59" i="5"/>
  <c r="I61" i="5"/>
  <c r="Q61" i="5"/>
  <c r="P61" i="5" s="1"/>
  <c r="M62" i="5"/>
  <c r="I63" i="5"/>
  <c r="M64" i="5"/>
  <c r="I66" i="5"/>
  <c r="M67" i="5"/>
  <c r="I68" i="5"/>
  <c r="M70" i="5"/>
  <c r="I71" i="5"/>
  <c r="Q71" i="5"/>
  <c r="M72" i="5"/>
  <c r="L32" i="5"/>
  <c r="N70" i="5"/>
  <c r="R71" i="5"/>
  <c r="N72" i="5"/>
  <c r="L40" i="5"/>
  <c r="L45" i="5"/>
  <c r="J45" i="5" s="1"/>
  <c r="H46" i="5"/>
  <c r="K25" i="5"/>
  <c r="K33" i="5"/>
  <c r="K38" i="5"/>
  <c r="H45" i="5"/>
  <c r="G51" i="5"/>
  <c r="O51" i="5"/>
  <c r="K52" i="5"/>
  <c r="G53" i="5"/>
  <c r="O53" i="5"/>
  <c r="K55" i="5"/>
  <c r="G56" i="5"/>
  <c r="O56" i="5"/>
  <c r="K58" i="5"/>
  <c r="G59" i="5"/>
  <c r="O59" i="5"/>
  <c r="K61" i="5"/>
  <c r="G62" i="5"/>
  <c r="O62" i="5"/>
  <c r="K63" i="5"/>
  <c r="G64" i="5"/>
  <c r="O64" i="5"/>
  <c r="K66" i="5"/>
  <c r="G67" i="5"/>
  <c r="O67" i="5"/>
  <c r="K68" i="5"/>
  <c r="G70" i="5"/>
  <c r="K71" i="5"/>
  <c r="G72" i="5"/>
  <c r="L26" i="5"/>
  <c r="L42" i="5"/>
  <c r="L25" i="5"/>
  <c r="H29" i="5"/>
  <c r="P32" i="5"/>
  <c r="P37" i="5"/>
  <c r="H40" i="5"/>
  <c r="L41" i="5"/>
  <c r="H42" i="5"/>
  <c r="M22" i="5"/>
  <c r="I26" i="5"/>
  <c r="I29" i="5"/>
  <c r="M30" i="5"/>
  <c r="M33" i="5"/>
  <c r="M44" i="5"/>
  <c r="I45" i="5"/>
  <c r="Q45" i="5"/>
  <c r="P45" i="5" s="1"/>
  <c r="M46" i="5"/>
  <c r="H51" i="5"/>
  <c r="L52" i="5"/>
  <c r="H53" i="5"/>
  <c r="H56" i="5"/>
  <c r="P56" i="5"/>
  <c r="L58" i="5"/>
  <c r="H59" i="5"/>
  <c r="L61" i="5"/>
  <c r="H62" i="5"/>
  <c r="P62" i="5"/>
  <c r="L63" i="5"/>
  <c r="H64" i="5"/>
  <c r="P64" i="5"/>
  <c r="L66" i="5"/>
  <c r="H67" i="5"/>
  <c r="P67" i="5"/>
  <c r="Q67" i="5" s="1"/>
  <c r="L68" i="5"/>
  <c r="H70" i="5"/>
  <c r="P70" i="5"/>
  <c r="L71" i="5"/>
  <c r="H72" i="5"/>
  <c r="P72" i="5"/>
  <c r="J22" i="5"/>
  <c r="H26" i="5"/>
  <c r="L27" i="5"/>
  <c r="P29" i="5"/>
  <c r="H32" i="5"/>
  <c r="L33" i="5"/>
  <c r="H35" i="5"/>
  <c r="L36" i="5"/>
  <c r="H37" i="5"/>
  <c r="L38" i="5"/>
  <c r="P40" i="5"/>
  <c r="P42" i="5"/>
  <c r="M25" i="5"/>
  <c r="Q26" i="5"/>
  <c r="M27" i="5"/>
  <c r="I32" i="5"/>
  <c r="I35" i="5"/>
  <c r="Q35" i="5"/>
  <c r="M36" i="5"/>
  <c r="I37" i="5"/>
  <c r="M38" i="5"/>
  <c r="I40" i="5"/>
  <c r="M41" i="5"/>
  <c r="I42" i="5"/>
  <c r="N25" i="5"/>
  <c r="J26" i="5"/>
  <c r="R26" i="5"/>
  <c r="N27" i="5"/>
  <c r="J29" i="5"/>
  <c r="R29" i="5"/>
  <c r="N30" i="5"/>
  <c r="J32" i="5"/>
  <c r="R32" i="5"/>
  <c r="N33" i="5"/>
  <c r="J35" i="5"/>
  <c r="R35" i="5"/>
  <c r="N36" i="5"/>
  <c r="J37" i="5"/>
  <c r="R37" i="5"/>
  <c r="N38" i="5"/>
  <c r="J40" i="5"/>
  <c r="R40" i="5"/>
  <c r="J42" i="5"/>
  <c r="R42" i="5"/>
  <c r="N44" i="5"/>
  <c r="N46" i="5"/>
  <c r="I51" i="5"/>
  <c r="Q51" i="5"/>
  <c r="M52" i="5"/>
  <c r="I53" i="5"/>
  <c r="Q53" i="5"/>
  <c r="M55" i="5"/>
  <c r="I56" i="5"/>
  <c r="M58" i="5"/>
  <c r="I59" i="5"/>
  <c r="Q59" i="5"/>
  <c r="M61" i="5"/>
  <c r="I62" i="5"/>
  <c r="M63" i="5"/>
  <c r="I64" i="5"/>
  <c r="M66" i="5"/>
  <c r="M68" i="5"/>
  <c r="Q70" i="5"/>
  <c r="Q72" i="5"/>
  <c r="K27" i="5"/>
  <c r="K30" i="5"/>
  <c r="K36" i="5"/>
  <c r="K41" i="5"/>
  <c r="G25" i="5"/>
  <c r="K26" i="5"/>
  <c r="G27" i="5"/>
  <c r="K29" i="5"/>
  <c r="G30" i="5"/>
  <c r="K32" i="5"/>
  <c r="G33" i="5"/>
  <c r="K35" i="5"/>
  <c r="G36" i="5"/>
  <c r="K37" i="5"/>
  <c r="G38" i="5"/>
  <c r="K40" i="5"/>
  <c r="K42" i="5"/>
  <c r="J51" i="5"/>
  <c r="R51" i="5"/>
  <c r="N52" i="5"/>
  <c r="J53" i="5"/>
  <c r="R53" i="5"/>
  <c r="N55" i="5"/>
  <c r="J56" i="5"/>
  <c r="R56" i="5"/>
  <c r="N58" i="5"/>
  <c r="J59" i="5"/>
  <c r="R59" i="5"/>
  <c r="N61" i="5"/>
  <c r="J62" i="5"/>
  <c r="R62" i="5"/>
  <c r="N63" i="5"/>
  <c r="J64" i="5"/>
  <c r="R64" i="5"/>
  <c r="N66" i="5"/>
  <c r="N68" i="5"/>
  <c r="Q68" i="5" l="1"/>
  <c r="P26" i="5"/>
  <c r="P71" i="5"/>
  <c r="Q37" i="5"/>
  <c r="J71" i="5"/>
  <c r="G71" i="5"/>
  <c r="Q42" i="5"/>
  <c r="Q29" i="5"/>
  <c r="Q62" i="5"/>
  <c r="Q32" i="5"/>
  <c r="P53" i="5"/>
  <c r="Q40" i="5"/>
  <c r="P35" i="5"/>
  <c r="P59" i="5"/>
  <c r="P51" i="5"/>
  <c r="Q64" i="5"/>
  <c r="Q56" i="5"/>
  <c r="G45" i="5"/>
  <c r="P38" i="12"/>
  <c r="P12" i="12"/>
  <c r="G11" i="12"/>
  <c r="G12" i="12" s="1"/>
  <c r="P37" i="12" l="1"/>
  <c r="R61" i="12" s="1"/>
  <c r="Q59" i="12"/>
  <c r="P62" i="12" s="1"/>
  <c r="P59" i="12"/>
  <c r="R60" i="12" s="1"/>
  <c r="Q33" i="12"/>
  <c r="P36" i="12" s="1"/>
  <c r="P33" i="12"/>
  <c r="R34" i="12" s="1"/>
  <c r="P34" i="12" l="1"/>
  <c r="Q34" i="12"/>
  <c r="Q36" i="12"/>
  <c r="Q41" i="12"/>
  <c r="R41" i="12"/>
  <c r="R36" i="12"/>
  <c r="P45" i="12"/>
  <c r="Q51" i="12"/>
  <c r="P56" i="12"/>
  <c r="R62" i="12"/>
  <c r="P46" i="12"/>
  <c r="R51" i="12"/>
  <c r="P57" i="12"/>
  <c r="Q60" i="12"/>
  <c r="R45" i="12"/>
  <c r="R52" i="12"/>
  <c r="P58" i="12"/>
  <c r="Q62" i="12"/>
  <c r="Q42" i="12"/>
  <c r="R46" i="12"/>
  <c r="R53" i="12"/>
  <c r="R56" i="12"/>
  <c r="P60" i="12"/>
  <c r="Q43" i="12"/>
  <c r="P48" i="12"/>
  <c r="R54" i="12"/>
  <c r="R57" i="12"/>
  <c r="R48" i="12"/>
  <c r="P52" i="12"/>
  <c r="R58" i="12"/>
  <c r="Q61" i="12"/>
  <c r="P61" i="12" s="1"/>
  <c r="R42" i="12"/>
  <c r="Q49" i="12"/>
  <c r="P53" i="12"/>
  <c r="R43" i="12"/>
  <c r="R49" i="12"/>
  <c r="P54" i="12"/>
  <c r="N59" i="12"/>
  <c r="M59" i="12"/>
  <c r="K59" i="12"/>
  <c r="J59" i="12"/>
  <c r="H59" i="12"/>
  <c r="G59" i="12"/>
  <c r="N33" i="12"/>
  <c r="M36" i="12" s="1"/>
  <c r="M33" i="12"/>
  <c r="M34" i="12" s="1"/>
  <c r="K33" i="12"/>
  <c r="J36" i="12" s="1"/>
  <c r="J33" i="12"/>
  <c r="K34" i="12" s="1"/>
  <c r="Q52" i="12" l="1"/>
  <c r="Q57" i="12"/>
  <c r="P43" i="12"/>
  <c r="P42" i="12"/>
  <c r="L34" i="12"/>
  <c r="N34" i="12"/>
  <c r="M62" i="12"/>
  <c r="O62" i="12"/>
  <c r="N62" i="12"/>
  <c r="N36" i="12"/>
  <c r="K36" i="12"/>
  <c r="O34" i="12"/>
  <c r="G60" i="12"/>
  <c r="H60" i="12"/>
  <c r="I60" i="12"/>
  <c r="L36" i="12"/>
  <c r="G62" i="12"/>
  <c r="H62" i="12"/>
  <c r="I62" i="12"/>
  <c r="O36" i="12"/>
  <c r="L60" i="12"/>
  <c r="J60" i="12"/>
  <c r="K60" i="12"/>
  <c r="J34" i="12"/>
  <c r="J62" i="12"/>
  <c r="K62" i="12"/>
  <c r="L62" i="12"/>
  <c r="N60" i="12"/>
  <c r="O60" i="12"/>
  <c r="M60" i="12"/>
  <c r="Q56" i="12"/>
  <c r="P49" i="12"/>
  <c r="Q53" i="12"/>
  <c r="Q46" i="12"/>
  <c r="Q45" i="12"/>
  <c r="Q54" i="12"/>
  <c r="Q58" i="12"/>
  <c r="P41" i="12"/>
  <c r="P51" i="12"/>
  <c r="Q48" i="12"/>
  <c r="H33" i="12"/>
  <c r="G33" i="12"/>
  <c r="P11" i="12"/>
  <c r="R30" i="12" l="1"/>
  <c r="R27" i="12"/>
  <c r="R17" i="12"/>
  <c r="Q35" i="12"/>
  <c r="P32" i="12"/>
  <c r="R26" i="12"/>
  <c r="Q17" i="12"/>
  <c r="P31" i="12"/>
  <c r="P28" i="12"/>
  <c r="R23" i="12"/>
  <c r="R20" i="12"/>
  <c r="P30" i="12"/>
  <c r="P27" i="12"/>
  <c r="R22" i="12"/>
  <c r="R19" i="12"/>
  <c r="R16" i="12"/>
  <c r="P26" i="12"/>
  <c r="Q23" i="12"/>
  <c r="P20" i="12"/>
  <c r="Q16" i="12"/>
  <c r="R35" i="12"/>
  <c r="P22" i="12"/>
  <c r="P19" i="12"/>
  <c r="R32" i="12"/>
  <c r="R25" i="12"/>
  <c r="R15" i="12"/>
  <c r="R31" i="12"/>
  <c r="R28" i="12"/>
  <c r="Q25" i="12"/>
  <c r="Q15" i="12"/>
  <c r="I34" i="12"/>
  <c r="H34" i="12"/>
  <c r="G34" i="12"/>
  <c r="I36" i="12"/>
  <c r="H36" i="12"/>
  <c r="G36" i="12"/>
  <c r="E37" i="12"/>
  <c r="M37" i="12"/>
  <c r="J37" i="12"/>
  <c r="G37" i="12"/>
  <c r="M11" i="12"/>
  <c r="J11" i="12"/>
  <c r="I15" i="12"/>
  <c r="L20" i="12" l="1"/>
  <c r="L19" i="12"/>
  <c r="L46" i="12"/>
  <c r="L45" i="12"/>
  <c r="P35" i="12"/>
  <c r="L16" i="12"/>
  <c r="J12" i="12"/>
  <c r="O17" i="12"/>
  <c r="M12" i="12"/>
  <c r="O41" i="12"/>
  <c r="M38" i="12"/>
  <c r="I41" i="12"/>
  <c r="G38" i="12"/>
  <c r="K43" i="12"/>
  <c r="J38" i="12"/>
  <c r="Q20" i="12"/>
  <c r="L41" i="12"/>
  <c r="P25" i="12"/>
  <c r="P15" i="12"/>
  <c r="I20" i="12"/>
  <c r="P16" i="12"/>
  <c r="P17" i="12"/>
  <c r="L23" i="12"/>
  <c r="J19" i="12"/>
  <c r="J17" i="12"/>
  <c r="J20" i="12"/>
  <c r="K15" i="12"/>
  <c r="K19" i="12"/>
  <c r="H23" i="12"/>
  <c r="G23" i="12"/>
  <c r="H20" i="12"/>
  <c r="J23" i="12"/>
  <c r="I19" i="12"/>
  <c r="K22" i="12"/>
  <c r="Q27" i="12"/>
  <c r="Q22" i="12"/>
  <c r="Q19" i="12"/>
  <c r="P23" i="12"/>
  <c r="M23" i="12"/>
  <c r="N16" i="12"/>
  <c r="N22" i="12"/>
  <c r="N17" i="12"/>
  <c r="I23" i="12"/>
  <c r="N23" i="12"/>
  <c r="K16" i="12"/>
  <c r="O15" i="12"/>
  <c r="M20" i="12"/>
  <c r="J22" i="12"/>
  <c r="O22" i="12"/>
  <c r="K17" i="12"/>
  <c r="N19" i="12"/>
  <c r="G17" i="12"/>
  <c r="L15" i="12"/>
  <c r="N20" i="12"/>
  <c r="H15" i="12"/>
  <c r="O19" i="12"/>
  <c r="H17" i="12"/>
  <c r="M17" i="12"/>
  <c r="O20" i="12"/>
  <c r="M22" i="12"/>
  <c r="N15" i="12"/>
  <c r="Q30" i="12"/>
  <c r="Q26" i="12"/>
  <c r="H57" i="12"/>
  <c r="I51" i="12"/>
  <c r="G51" i="12"/>
  <c r="H56" i="12"/>
  <c r="H54" i="12"/>
  <c r="G49" i="12"/>
  <c r="G58" i="12"/>
  <c r="H53" i="12"/>
  <c r="G48" i="12"/>
  <c r="G57" i="12"/>
  <c r="H52" i="12"/>
  <c r="H49" i="12"/>
  <c r="I58" i="12"/>
  <c r="G56" i="12"/>
  <c r="H51" i="12"/>
  <c r="H48" i="12"/>
  <c r="G52" i="12"/>
  <c r="H61" i="12"/>
  <c r="I57" i="12"/>
  <c r="I54" i="12"/>
  <c r="G54" i="12"/>
  <c r="I49" i="12"/>
  <c r="I61" i="12"/>
  <c r="I56" i="12"/>
  <c r="I53" i="12"/>
  <c r="G53" i="12"/>
  <c r="I48" i="12"/>
  <c r="H58" i="12"/>
  <c r="I52" i="12"/>
  <c r="I46" i="12"/>
  <c r="I45" i="12"/>
  <c r="H46" i="12"/>
  <c r="H45" i="12"/>
  <c r="G46" i="12"/>
  <c r="G45" i="12"/>
  <c r="G41" i="12"/>
  <c r="N57" i="12"/>
  <c r="O51" i="12"/>
  <c r="M51" i="12"/>
  <c r="N48" i="12"/>
  <c r="M46" i="12"/>
  <c r="N56" i="12"/>
  <c r="N54" i="12"/>
  <c r="O49" i="12"/>
  <c r="M45" i="12"/>
  <c r="O48" i="12"/>
  <c r="O61" i="12"/>
  <c r="M58" i="12"/>
  <c r="N53" i="12"/>
  <c r="M57" i="12"/>
  <c r="N52" i="12"/>
  <c r="O58" i="12"/>
  <c r="M56" i="12"/>
  <c r="N51" i="12"/>
  <c r="O46" i="12"/>
  <c r="O45" i="12"/>
  <c r="N45" i="12"/>
  <c r="O57" i="12"/>
  <c r="O54" i="12"/>
  <c r="M54" i="12"/>
  <c r="M49" i="12"/>
  <c r="O56" i="12"/>
  <c r="O53" i="12"/>
  <c r="M53" i="12"/>
  <c r="M48" i="12"/>
  <c r="N46" i="12"/>
  <c r="N61" i="12"/>
  <c r="N58" i="12"/>
  <c r="O52" i="12"/>
  <c r="M52" i="12"/>
  <c r="N49" i="12"/>
  <c r="I43" i="12"/>
  <c r="L43" i="12"/>
  <c r="O43" i="12"/>
  <c r="G43" i="12"/>
  <c r="J43" i="12"/>
  <c r="M43" i="12"/>
  <c r="Q31" i="12"/>
  <c r="I30" i="12"/>
  <c r="I26" i="12"/>
  <c r="H30" i="12"/>
  <c r="H25" i="12"/>
  <c r="I32" i="12"/>
  <c r="G30" i="12"/>
  <c r="I25" i="12"/>
  <c r="H32" i="12"/>
  <c r="I28" i="12"/>
  <c r="G26" i="12"/>
  <c r="G28" i="12"/>
  <c r="G32" i="12"/>
  <c r="H28" i="12"/>
  <c r="I35" i="12"/>
  <c r="I31" i="12"/>
  <c r="H35" i="12"/>
  <c r="H31" i="12"/>
  <c r="G31" i="12"/>
  <c r="H27" i="12"/>
  <c r="G27" i="12"/>
  <c r="G15" i="12"/>
  <c r="H26" i="12"/>
  <c r="G25" i="12"/>
  <c r="I27" i="12"/>
  <c r="N41" i="12"/>
  <c r="G19" i="12"/>
  <c r="K41" i="12"/>
  <c r="O16" i="12"/>
  <c r="K35" i="12"/>
  <c r="L35" i="12"/>
  <c r="J31" i="12"/>
  <c r="L27" i="12"/>
  <c r="J27" i="12"/>
  <c r="J15" i="12"/>
  <c r="L26" i="12"/>
  <c r="K26" i="12"/>
  <c r="L32" i="12"/>
  <c r="J30" i="12"/>
  <c r="L31" i="12"/>
  <c r="L25" i="12"/>
  <c r="L30" i="12"/>
  <c r="K28" i="12"/>
  <c r="K32" i="12"/>
  <c r="K27" i="12"/>
  <c r="K31" i="12"/>
  <c r="K30" i="12"/>
  <c r="K25" i="12"/>
  <c r="J32" i="12"/>
  <c r="L28" i="12"/>
  <c r="J28" i="12"/>
  <c r="J26" i="12"/>
  <c r="J25" i="12"/>
  <c r="H42" i="12"/>
  <c r="K42" i="12"/>
  <c r="N42" i="12"/>
  <c r="G20" i="12"/>
  <c r="K20" i="12"/>
  <c r="H22" i="12"/>
  <c r="K23" i="12"/>
  <c r="O23" i="12"/>
  <c r="I17" i="12"/>
  <c r="L17" i="12"/>
  <c r="H41" i="12"/>
  <c r="G22" i="12"/>
  <c r="I16" i="12"/>
  <c r="O35" i="12"/>
  <c r="N35" i="12"/>
  <c r="O32" i="12"/>
  <c r="M30" i="12"/>
  <c r="N27" i="12"/>
  <c r="O31" i="12"/>
  <c r="N26" i="12"/>
  <c r="O30" i="12"/>
  <c r="N25" i="12"/>
  <c r="N32" i="12"/>
  <c r="O28" i="12"/>
  <c r="M28" i="12"/>
  <c r="N31" i="12"/>
  <c r="O27" i="12"/>
  <c r="M27" i="12"/>
  <c r="N30" i="12"/>
  <c r="O26" i="12"/>
  <c r="M26" i="12"/>
  <c r="M32" i="12"/>
  <c r="O25" i="12"/>
  <c r="M25" i="12"/>
  <c r="M31" i="12"/>
  <c r="N28" i="12"/>
  <c r="M15" i="12"/>
  <c r="H43" i="12"/>
  <c r="N43" i="12"/>
  <c r="H19" i="12"/>
  <c r="M19" i="12"/>
  <c r="I22" i="12"/>
  <c r="L22" i="12"/>
  <c r="G16" i="12"/>
  <c r="J16" i="12"/>
  <c r="M16" i="12"/>
  <c r="Q32" i="12"/>
  <c r="H16" i="12"/>
  <c r="K57" i="12"/>
  <c r="K51" i="12"/>
  <c r="J48" i="12"/>
  <c r="J58" i="12"/>
  <c r="L54" i="12"/>
  <c r="J54" i="12"/>
  <c r="K49" i="12"/>
  <c r="J57" i="12"/>
  <c r="L53" i="12"/>
  <c r="J53" i="12"/>
  <c r="K48" i="12"/>
  <c r="J56" i="12"/>
  <c r="L52" i="12"/>
  <c r="J52" i="12"/>
  <c r="L49" i="12"/>
  <c r="M41" i="12"/>
  <c r="L51" i="12"/>
  <c r="J51" i="12"/>
  <c r="L48" i="12"/>
  <c r="L61" i="12"/>
  <c r="K58" i="12"/>
  <c r="K54" i="12"/>
  <c r="K52" i="12"/>
  <c r="K61" i="12"/>
  <c r="L58" i="12"/>
  <c r="K53" i="12"/>
  <c r="J49" i="12"/>
  <c r="L57" i="12"/>
  <c r="J45" i="12"/>
  <c r="L56" i="12"/>
  <c r="K56" i="12"/>
  <c r="K46" i="12"/>
  <c r="K45" i="12"/>
  <c r="J46" i="12"/>
  <c r="J41" i="12"/>
  <c r="I42" i="12"/>
  <c r="L42" i="12"/>
  <c r="O42" i="12"/>
  <c r="G42" i="12"/>
  <c r="J42" i="12"/>
  <c r="M42" i="12"/>
  <c r="Q28" i="12"/>
  <c r="A28" i="13"/>
  <c r="D3" i="13"/>
  <c r="A1" i="13" s="1"/>
  <c r="D2" i="13"/>
  <c r="B15" i="13"/>
  <c r="B14" i="13"/>
  <c r="A15" i="13"/>
  <c r="A14" i="13"/>
  <c r="B3" i="13"/>
  <c r="B2" i="13"/>
  <c r="D12" i="13"/>
  <c r="B12" i="13"/>
  <c r="B10" i="13"/>
  <c r="D10" i="13"/>
  <c r="A8" i="13" s="1"/>
  <c r="D9" i="13"/>
  <c r="B9" i="13"/>
  <c r="J61" i="12" l="1"/>
  <c r="M61" i="12"/>
  <c r="M35" i="12"/>
  <c r="G61" i="12"/>
  <c r="J35" i="12"/>
  <c r="G35" i="12"/>
  <c r="A21" i="13"/>
  <c r="D19" i="13"/>
  <c r="A17" i="13" s="1"/>
  <c r="D18" i="13"/>
  <c r="B19" i="13"/>
  <c r="B18" i="13"/>
  <c r="D26" i="13"/>
  <c r="A24" i="13" s="1"/>
  <c r="D25" i="13"/>
  <c r="B26" i="13"/>
  <c r="B25" i="13"/>
  <c r="I128" i="12" l="1"/>
  <c r="I127" i="12"/>
  <c r="I126" i="12"/>
  <c r="I125" i="12"/>
  <c r="I124" i="12"/>
  <c r="I123" i="12"/>
  <c r="I122" i="12"/>
  <c r="I121" i="12"/>
  <c r="I120" i="12"/>
  <c r="I119" i="12"/>
  <c r="I118" i="12"/>
  <c r="I117" i="12"/>
  <c r="I116" i="12"/>
  <c r="I115" i="12"/>
  <c r="I114" i="12"/>
  <c r="I113" i="12"/>
  <c r="I112" i="12"/>
  <c r="I111" i="12"/>
  <c r="I110" i="12"/>
  <c r="I109" i="12"/>
  <c r="I108" i="12"/>
  <c r="I107" i="12"/>
  <c r="I106" i="12"/>
  <c r="I105" i="12"/>
  <c r="I104" i="12"/>
  <c r="I103" i="12"/>
  <c r="I102" i="12"/>
  <c r="I101" i="12"/>
  <c r="I100" i="12"/>
  <c r="U11" i="2" l="1"/>
  <c r="U12" i="2"/>
  <c r="U10" i="2"/>
  <c r="U8" i="2"/>
  <c r="U14" i="2" s="1"/>
  <c r="U9" i="2"/>
  <c r="U15" i="2" s="1"/>
  <c r="U7" i="2"/>
  <c r="U13" i="2" s="1"/>
  <c r="U2" i="2"/>
  <c r="U3" i="2"/>
  <c r="U4" i="2"/>
  <c r="U5" i="2"/>
  <c r="U6" i="2"/>
  <c r="U1" i="2"/>
  <c r="O12" i="1" l="1"/>
  <c r="O11" i="1" s="1"/>
  <c r="P12" i="1" l="1"/>
  <c r="I2" i="2"/>
  <c r="I3" i="2" s="1"/>
  <c r="I4" i="2" s="1"/>
  <c r="I5" i="2" s="1"/>
  <c r="I6" i="2" s="1"/>
  <c r="I7" i="2" s="1"/>
  <c r="I8" i="2" s="1"/>
  <c r="I9" i="2" s="1"/>
  <c r="I10" i="2" s="1"/>
  <c r="I11" i="2" s="1"/>
  <c r="I12" i="2" s="1"/>
  <c r="I13" i="2" s="1"/>
  <c r="I14" i="2" s="1"/>
  <c r="I15" i="2" s="1"/>
  <c r="I16" i="2" s="1"/>
  <c r="I17" i="2" s="1"/>
  <c r="I18" i="2" s="1"/>
  <c r="I19" i="2" s="1"/>
  <c r="I20" i="2" s="1"/>
  <c r="I21" i="2" s="1"/>
  <c r="I22" i="2" s="1"/>
  <c r="I23" i="2" s="1"/>
  <c r="I24" i="2" s="1"/>
  <c r="I25" i="2" s="1"/>
  <c r="I26" i="2" s="1"/>
  <c r="I27" i="2" s="1"/>
  <c r="I28" i="2" s="1"/>
  <c r="I29" i="2" s="1"/>
  <c r="I30" i="2" s="1"/>
  <c r="I31" i="2" s="1"/>
  <c r="I32" i="2" s="1"/>
  <c r="I33" i="2" s="1"/>
  <c r="I34" i="2" s="1"/>
  <c r="I35" i="2" s="1"/>
  <c r="I36" i="2" s="1"/>
  <c r="I37" i="2" s="1"/>
  <c r="I38" i="2" s="1"/>
  <c r="I39" i="2" s="1"/>
  <c r="I40" i="2" s="1"/>
  <c r="I41" i="2" s="1"/>
  <c r="I42" i="2" s="1"/>
  <c r="I43" i="2" s="1"/>
  <c r="I44" i="2" s="1"/>
  <c r="I45" i="2" s="1"/>
  <c r="I46" i="2" s="1"/>
  <c r="I47" i="2" s="1"/>
  <c r="I48" i="2" s="1"/>
  <c r="I49" i="2" s="1"/>
  <c r="I50" i="2" s="1"/>
  <c r="I51" i="2" s="1"/>
  <c r="I52" i="2" s="1"/>
  <c r="I53" i="2" s="1"/>
  <c r="I54" i="2" s="1"/>
  <c r="I55" i="2" s="1"/>
  <c r="I56" i="2" s="1"/>
  <c r="I57" i="2" s="1"/>
  <c r="I58" i="2" s="1"/>
  <c r="I59" i="2" s="1"/>
  <c r="I60" i="2" s="1"/>
  <c r="I61" i="2" s="1"/>
  <c r="I62" i="2" s="1"/>
  <c r="I63" i="2" s="1"/>
  <c r="I64" i="2" s="1"/>
  <c r="I65" i="2" s="1"/>
  <c r="I66" i="2" s="1"/>
  <c r="I67" i="2" s="1"/>
  <c r="I68" i="2" s="1"/>
  <c r="I69" i="2" s="1"/>
  <c r="I70" i="2" s="1"/>
  <c r="I71" i="2" s="1"/>
  <c r="I72" i="2" s="1"/>
  <c r="I73" i="2" s="1"/>
  <c r="I74" i="2" s="1"/>
  <c r="I75" i="2" s="1"/>
  <c r="I76" i="2" s="1"/>
  <c r="I77" i="2" s="1"/>
  <c r="I78" i="2" s="1"/>
  <c r="I79" i="2" s="1"/>
  <c r="I80" i="2" s="1"/>
  <c r="I81" i="2" s="1"/>
  <c r="I82" i="2" s="1"/>
  <c r="I83" i="2" s="1"/>
  <c r="I84" i="2" s="1"/>
  <c r="I85" i="2" s="1"/>
  <c r="I86" i="2" s="1"/>
  <c r="I87" i="2" s="1"/>
  <c r="I88" i="2" s="1"/>
  <c r="I89" i="2" s="1"/>
  <c r="I90" i="2" s="1"/>
  <c r="I91" i="2" s="1"/>
  <c r="I92" i="2" s="1"/>
  <c r="I93" i="2" s="1"/>
  <c r="I94" i="2" s="1"/>
  <c r="I95" i="2" s="1"/>
  <c r="I96" i="2" s="1"/>
  <c r="I97" i="2" s="1"/>
  <c r="I98" i="2" s="1"/>
  <c r="I99" i="2" s="1"/>
  <c r="I100" i="2" s="1"/>
  <c r="I101" i="2" s="1"/>
  <c r="I102" i="2" s="1"/>
  <c r="I103" i="2" s="1"/>
  <c r="I104" i="2" s="1"/>
  <c r="I105" i="2" s="1"/>
  <c r="I106" i="2" s="1"/>
  <c r="I107" i="2" s="1"/>
  <c r="I108" i="2" s="1"/>
  <c r="I109" i="2" s="1"/>
  <c r="I110" i="2" s="1"/>
  <c r="I111" i="2" s="1"/>
  <c r="I112" i="2" s="1"/>
  <c r="I113" i="2" s="1"/>
  <c r="I114" i="2" s="1"/>
  <c r="I115" i="2" s="1"/>
  <c r="I116" i="2" s="1"/>
  <c r="I117" i="2" s="1"/>
  <c r="I118" i="2" s="1"/>
  <c r="I119" i="2" s="1"/>
  <c r="I120" i="2" s="1"/>
  <c r="I121" i="2" s="1"/>
  <c r="I122" i="2" s="1"/>
  <c r="I123" i="2" s="1"/>
  <c r="I124" i="2" s="1"/>
  <c r="I125" i="2" s="1"/>
  <c r="I126" i="2" s="1"/>
  <c r="I127" i="2" s="1"/>
  <c r="I128" i="2" s="1"/>
  <c r="I129" i="2" s="1"/>
  <c r="I130" i="2" s="1"/>
  <c r="I131" i="2" s="1"/>
  <c r="I132" i="2" s="1"/>
  <c r="I133" i="2" s="1"/>
  <c r="I134" i="2" s="1"/>
  <c r="I135" i="2" s="1"/>
  <c r="I136" i="2" s="1"/>
  <c r="I137" i="2" s="1"/>
  <c r="I138" i="2" s="1"/>
  <c r="I139" i="2" s="1"/>
  <c r="I140" i="2" s="1"/>
  <c r="I141" i="2" s="1"/>
  <c r="I142" i="2" s="1"/>
  <c r="I143" i="2" s="1"/>
  <c r="I144" i="2" s="1"/>
  <c r="I145" i="2" s="1"/>
  <c r="I146" i="2" s="1"/>
  <c r="I147" i="2" s="1"/>
  <c r="I148" i="2" s="1"/>
  <c r="I149" i="2" s="1"/>
  <c r="I150" i="2" s="1"/>
  <c r="I151" i="2" s="1"/>
  <c r="I152" i="2" s="1"/>
  <c r="I153" i="2" s="1"/>
  <c r="I154" i="2" s="1"/>
  <c r="I155" i="2" s="1"/>
  <c r="I156" i="2" s="1"/>
  <c r="I157" i="2" s="1"/>
  <c r="I158" i="2" s="1"/>
  <c r="I159" i="2" s="1"/>
  <c r="I160" i="2" s="1"/>
  <c r="I161" i="2" s="1"/>
  <c r="I162" i="2" s="1"/>
  <c r="I163" i="2" s="1"/>
  <c r="I164" i="2" s="1"/>
  <c r="I165" i="2" s="1"/>
  <c r="I166" i="2" s="1"/>
  <c r="I167" i="2" s="1"/>
  <c r="I168" i="2" s="1"/>
  <c r="I169" i="2" s="1"/>
  <c r="I170" i="2" s="1"/>
  <c r="I171" i="2" s="1"/>
  <c r="I172" i="2" s="1"/>
  <c r="I173" i="2" s="1"/>
  <c r="I174" i="2" s="1"/>
  <c r="I175" i="2" s="1"/>
  <c r="I176" i="2" s="1"/>
  <c r="I177" i="2" s="1"/>
  <c r="I178" i="2" s="1"/>
  <c r="I179" i="2" s="1"/>
  <c r="I180" i="2" s="1"/>
  <c r="I181" i="2" s="1"/>
  <c r="I182" i="2" s="1"/>
  <c r="I183" i="2" s="1"/>
  <c r="I184" i="2" s="1"/>
  <c r="I185" i="2" s="1"/>
  <c r="I186" i="2" s="1"/>
  <c r="I187" i="2" s="1"/>
  <c r="I188" i="2" s="1"/>
  <c r="I189" i="2" s="1"/>
  <c r="I190" i="2" s="1"/>
  <c r="I191" i="2" s="1"/>
  <c r="I192" i="2" s="1"/>
  <c r="I193" i="2" s="1"/>
  <c r="I194" i="2" s="1"/>
  <c r="I195" i="2" s="1"/>
  <c r="I196" i="2" s="1"/>
  <c r="I197" i="2" s="1"/>
  <c r="I198" i="2" s="1"/>
  <c r="I199" i="2" s="1"/>
  <c r="I200" i="2" s="1"/>
  <c r="I201" i="2" s="1"/>
  <c r="I202" i="2" s="1"/>
  <c r="I203" i="2" s="1"/>
  <c r="I204" i="2" s="1"/>
  <c r="I205" i="2" s="1"/>
  <c r="I206" i="2" s="1"/>
  <c r="I207" i="2" s="1"/>
  <c r="I208" i="2" s="1"/>
  <c r="I209" i="2" s="1"/>
  <c r="I210" i="2" s="1"/>
  <c r="I211" i="2" s="1"/>
  <c r="I212" i="2" s="1"/>
  <c r="I213" i="2" s="1"/>
  <c r="I214" i="2" s="1"/>
  <c r="I215" i="2" s="1"/>
  <c r="I216" i="2" s="1"/>
  <c r="I217" i="2" s="1"/>
  <c r="I218" i="2" s="1"/>
  <c r="I219" i="2" s="1"/>
  <c r="I220" i="2" s="1"/>
  <c r="I221" i="2" s="1"/>
  <c r="I222" i="2" s="1"/>
  <c r="I223" i="2" s="1"/>
  <c r="I224" i="2" s="1"/>
  <c r="I225" i="2" s="1"/>
  <c r="I226" i="2" s="1"/>
  <c r="I227" i="2" s="1"/>
  <c r="I228" i="2" s="1"/>
  <c r="I229" i="2" s="1"/>
  <c r="I230" i="2" s="1"/>
  <c r="I231" i="2" s="1"/>
  <c r="I232" i="2" s="1"/>
  <c r="I233" i="2" s="1"/>
  <c r="I234" i="2" s="1"/>
  <c r="I235" i="2" s="1"/>
  <c r="I236" i="2" s="1"/>
  <c r="I237" i="2" s="1"/>
  <c r="I238" i="2" s="1"/>
  <c r="I239" i="2" s="1"/>
  <c r="I240" i="2" s="1"/>
  <c r="I241" i="2" s="1"/>
  <c r="I242" i="2" s="1"/>
  <c r="I243" i="2" s="1"/>
  <c r="I244" i="2" s="1"/>
  <c r="I245" i="2" s="1"/>
  <c r="I246" i="2" s="1"/>
  <c r="I247" i="2" s="1"/>
  <c r="I248" i="2" s="1"/>
  <c r="I249" i="2" s="1"/>
  <c r="I250" i="2" s="1"/>
  <c r="I251" i="2" s="1"/>
  <c r="I252" i="2" s="1"/>
  <c r="I253" i="2" s="1"/>
  <c r="I254" i="2" s="1"/>
  <c r="I255" i="2" s="1"/>
  <c r="I256" i="2" s="1"/>
  <c r="I257" i="2" s="1"/>
  <c r="I258" i="2" s="1"/>
  <c r="I259" i="2" s="1"/>
  <c r="I260" i="2" s="1"/>
  <c r="I261" i="2" s="1"/>
  <c r="I262" i="2" s="1"/>
  <c r="I263" i="2" s="1"/>
  <c r="I264" i="2" s="1"/>
  <c r="I265" i="2" s="1"/>
  <c r="I266" i="2" s="1"/>
  <c r="I267" i="2" s="1"/>
  <c r="I268" i="2" s="1"/>
  <c r="I269" i="2" s="1"/>
  <c r="I270" i="2" s="1"/>
  <c r="I271" i="2" s="1"/>
  <c r="I272" i="2" s="1"/>
  <c r="I273" i="2" s="1"/>
  <c r="I274" i="2" s="1"/>
  <c r="I275" i="2" s="1"/>
  <c r="I276" i="2" s="1"/>
  <c r="I277" i="2" s="1"/>
  <c r="I278" i="2" s="1"/>
  <c r="I279" i="2" s="1"/>
  <c r="I280" i="2" s="1"/>
  <c r="I281" i="2" s="1"/>
  <c r="I282" i="2" s="1"/>
  <c r="I283" i="2" s="1"/>
  <c r="I284" i="2" s="1"/>
  <c r="I285" i="2" s="1"/>
  <c r="I286" i="2" s="1"/>
  <c r="I287" i="2" s="1"/>
  <c r="I288" i="2" s="1"/>
  <c r="I289" i="2" s="1"/>
  <c r="I290" i="2" s="1"/>
  <c r="I291" i="2" s="1"/>
  <c r="I292" i="2" s="1"/>
  <c r="I293" i="2" s="1"/>
  <c r="I294" i="2" s="1"/>
  <c r="I295" i="2" s="1"/>
  <c r="I296" i="2" s="1"/>
  <c r="I297" i="2" s="1"/>
  <c r="I298" i="2" s="1"/>
  <c r="I299" i="2" s="1"/>
  <c r="I300" i="2" s="1"/>
  <c r="I301" i="2" s="1"/>
  <c r="I302" i="2" s="1"/>
  <c r="I303" i="2" s="1"/>
  <c r="I304" i="2" s="1"/>
  <c r="I305" i="2" s="1"/>
  <c r="I306" i="2" s="1"/>
  <c r="I307" i="2" s="1"/>
  <c r="I308" i="2" s="1"/>
  <c r="I309" i="2" s="1"/>
  <c r="I310" i="2" s="1"/>
  <c r="I311" i="2" s="1"/>
  <c r="I312" i="2" s="1"/>
  <c r="I313" i="2" s="1"/>
  <c r="I314" i="2" s="1"/>
  <c r="I315" i="2" s="1"/>
  <c r="I316" i="2" s="1"/>
  <c r="I317" i="2" s="1"/>
  <c r="I318" i="2" s="1"/>
  <c r="I319" i="2" s="1"/>
  <c r="I320" i="2" s="1"/>
  <c r="I321" i="2" s="1"/>
  <c r="I322" i="2" s="1"/>
  <c r="I323" i="2" s="1"/>
  <c r="I324" i="2" s="1"/>
  <c r="I325" i="2" s="1"/>
  <c r="I326" i="2" s="1"/>
  <c r="I327" i="2" s="1"/>
  <c r="I328" i="2" s="1"/>
  <c r="I329" i="2" s="1"/>
  <c r="I330" i="2" s="1"/>
  <c r="I331" i="2" s="1"/>
  <c r="Q12" i="1" l="1"/>
  <c r="P11"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F1" i="2"/>
  <c r="F2" i="2" s="1"/>
  <c r="F3" i="2" s="1"/>
  <c r="F4" i="2" s="1"/>
  <c r="F5" i="2" s="1"/>
  <c r="F6" i="2" s="1"/>
  <c r="F7" i="2" s="1"/>
  <c r="Q11" i="1" l="1"/>
  <c r="R12" i="1"/>
  <c r="R11" i="1" l="1"/>
  <c r="S12" i="1"/>
  <c r="S11" i="1" l="1"/>
  <c r="T12" i="1"/>
  <c r="T11" i="1" l="1"/>
  <c r="U12" i="1"/>
  <c r="U11" i="1" s="1"/>
</calcChain>
</file>

<file path=xl/comments1.xml><?xml version="1.0" encoding="utf-8"?>
<comments xmlns="http://schemas.openxmlformats.org/spreadsheetml/2006/main">
  <authors>
    <author>Mingtao Zhang</author>
  </authors>
  <commentList>
    <comment ref="B1" authorId="0" shapeId="0">
      <text>
        <r>
          <rPr>
            <b/>
            <sz val="9"/>
            <color indexed="81"/>
            <rFont val="Tahoma"/>
            <family val="2"/>
          </rPr>
          <t xml:space="preserve">Job Description
</t>
        </r>
        <r>
          <rPr>
            <sz val="9"/>
            <color indexed="81"/>
            <rFont val="Tahoma"/>
            <family val="2"/>
          </rPr>
          <t xml:space="preserve">7.2 Follows all bet365 security protocols
</t>
        </r>
        <r>
          <rPr>
            <b/>
            <sz val="9"/>
            <color indexed="81"/>
            <rFont val="Tahoma"/>
            <family val="2"/>
          </rPr>
          <t xml:space="preserve">
Measurable Outputs</t>
        </r>
        <r>
          <rPr>
            <sz val="9"/>
            <color indexed="81"/>
            <rFont val="Tahoma"/>
            <family val="2"/>
          </rPr>
          <t xml:space="preserve">
• Not ask question to confirm right level of security.
• Asked the security questions, but did not verify the information
</t>
        </r>
        <r>
          <rPr>
            <b/>
            <sz val="9"/>
            <color indexed="81"/>
            <rFont val="Tahoma"/>
            <family val="2"/>
          </rPr>
          <t>Follow Up Actions</t>
        </r>
        <r>
          <rPr>
            <sz val="9"/>
            <color indexed="81"/>
            <rFont val="Tahoma"/>
            <family val="2"/>
          </rPr>
          <t xml:space="preserve">
• Reminder - 1 Occurrence 
• Feedback - 2 Occurrence 
• Manager Action - 3 or More Occurrence </t>
        </r>
      </text>
    </comment>
    <comment ref="D1" authorId="0" shapeId="0">
      <text>
        <r>
          <rPr>
            <b/>
            <sz val="9"/>
            <color indexed="81"/>
            <rFont val="Tahoma"/>
            <family val="2"/>
          </rPr>
          <t xml:space="preserve">Job Description
</t>
        </r>
        <r>
          <rPr>
            <sz val="9"/>
            <color indexed="81"/>
            <rFont val="Tahoma"/>
            <family val="2"/>
          </rPr>
          <t xml:space="preserve">7.2 Follows all bet365 security protocols
</t>
        </r>
        <r>
          <rPr>
            <b/>
            <sz val="9"/>
            <color indexed="81"/>
            <rFont val="Tahoma"/>
            <family val="2"/>
          </rPr>
          <t xml:space="preserve">
Measurable Outputs</t>
        </r>
        <r>
          <rPr>
            <sz val="9"/>
            <color indexed="81"/>
            <rFont val="Tahoma"/>
            <family val="2"/>
          </rPr>
          <t xml:space="preserve">
• Not ask question to confirm right level of security.
• Asked the security questions, but did not verify the information
</t>
        </r>
        <r>
          <rPr>
            <b/>
            <sz val="9"/>
            <color indexed="81"/>
            <rFont val="Tahoma"/>
            <family val="2"/>
          </rPr>
          <t>Follow Up Actions</t>
        </r>
        <r>
          <rPr>
            <sz val="9"/>
            <color indexed="81"/>
            <rFont val="Tahoma"/>
            <family val="2"/>
          </rPr>
          <t xml:space="preserve">
• Reminder - 1 Occurrence 
• Feedback - 2 Occurrence 
• Manager Action - 3 or More Occurrence </t>
        </r>
      </text>
    </comment>
    <comment ref="F1" authorId="0" shapeId="0">
      <text>
        <r>
          <rPr>
            <b/>
            <sz val="9"/>
            <color indexed="81"/>
            <rFont val="Tahoma"/>
            <family val="2"/>
          </rPr>
          <t xml:space="preserve">Job Description
</t>
        </r>
        <r>
          <rPr>
            <sz val="9"/>
            <color indexed="81"/>
            <rFont val="Tahoma"/>
            <family val="2"/>
          </rPr>
          <t xml:space="preserve">7.2 Follows all bet365 security protocols
</t>
        </r>
        <r>
          <rPr>
            <b/>
            <sz val="9"/>
            <color indexed="81"/>
            <rFont val="Tahoma"/>
            <family val="2"/>
          </rPr>
          <t xml:space="preserve">
Measurable Outputs</t>
        </r>
        <r>
          <rPr>
            <sz val="9"/>
            <color indexed="81"/>
            <rFont val="Tahoma"/>
            <family val="2"/>
          </rPr>
          <t xml:space="preserve">
• Not ask question to confirm right level of security.
• Asked the security questions, but did not verify the information
</t>
        </r>
        <r>
          <rPr>
            <b/>
            <sz val="9"/>
            <color indexed="81"/>
            <rFont val="Tahoma"/>
            <family val="2"/>
          </rPr>
          <t>Follow Up Actions</t>
        </r>
        <r>
          <rPr>
            <sz val="9"/>
            <color indexed="81"/>
            <rFont val="Tahoma"/>
            <family val="2"/>
          </rPr>
          <t xml:space="preserve">
• Reminder - 1 Occurrence 
• Feedback - 2 Occurrence 
• Manager Action - 3 or More Occurrence </t>
        </r>
      </text>
    </comment>
    <comment ref="B2" authorId="0" shapeId="0">
      <text>
        <r>
          <rPr>
            <b/>
            <sz val="9"/>
            <color indexed="81"/>
            <rFont val="Tahoma"/>
            <family val="2"/>
          </rPr>
          <t xml:space="preserve">Job Description
</t>
        </r>
        <r>
          <rPr>
            <sz val="9"/>
            <color indexed="81"/>
            <rFont val="Tahoma"/>
            <family val="2"/>
          </rPr>
          <t>1.14 Provides a standard of service that reflects bet365's Customer Service Ethos
1.9 Remains assertive and polite when in dispute with the customer</t>
        </r>
        <r>
          <rPr>
            <b/>
            <sz val="9"/>
            <color indexed="81"/>
            <rFont val="Tahoma"/>
            <family val="2"/>
          </rPr>
          <t xml:space="preserve">
Measurable Outputs
</t>
        </r>
        <r>
          <rPr>
            <sz val="9"/>
            <color indexed="81"/>
            <rFont val="Tahoma"/>
            <family val="2"/>
          </rPr>
          <t>• Responses are unsuitable, offensive or impolite towards the customer.
• Blame customer for whatever was happening.</t>
        </r>
        <r>
          <rPr>
            <b/>
            <sz val="9"/>
            <color indexed="81"/>
            <rFont val="Tahoma"/>
            <family val="2"/>
          </rPr>
          <t xml:space="preserve">
Follow Up Actions
</t>
        </r>
        <r>
          <rPr>
            <sz val="9"/>
            <color indexed="81"/>
            <rFont val="Tahoma"/>
            <family val="2"/>
          </rPr>
          <t>• Manager Action - Any Occurrence</t>
        </r>
      </text>
    </comment>
    <comment ref="D2" authorId="0" shapeId="0">
      <text>
        <r>
          <rPr>
            <b/>
            <sz val="9"/>
            <color indexed="81"/>
            <rFont val="Tahoma"/>
            <family val="2"/>
          </rPr>
          <t xml:space="preserve">Job Description
</t>
        </r>
        <r>
          <rPr>
            <sz val="9"/>
            <color indexed="81"/>
            <rFont val="Tahoma"/>
            <family val="2"/>
          </rPr>
          <t>1.14 Provides a standard of service that reflects bet365's Customer Service Ethos
1.9 Remains assertive and polite when in dispute with the customer</t>
        </r>
        <r>
          <rPr>
            <b/>
            <sz val="9"/>
            <color indexed="81"/>
            <rFont val="Tahoma"/>
            <family val="2"/>
          </rPr>
          <t xml:space="preserve">
Measurable Outputs
</t>
        </r>
        <r>
          <rPr>
            <sz val="9"/>
            <color indexed="81"/>
            <rFont val="Tahoma"/>
            <family val="2"/>
          </rPr>
          <t>• Responses are unsuitable, offensive or impolite towards the customer.
• Blame customer for whatever was happening.</t>
        </r>
        <r>
          <rPr>
            <b/>
            <sz val="9"/>
            <color indexed="81"/>
            <rFont val="Tahoma"/>
            <family val="2"/>
          </rPr>
          <t xml:space="preserve">
Follow Up Actions
</t>
        </r>
        <r>
          <rPr>
            <sz val="9"/>
            <color indexed="81"/>
            <rFont val="Tahoma"/>
            <family val="2"/>
          </rPr>
          <t>• Manager Action - Any Occurrence</t>
        </r>
      </text>
    </comment>
    <comment ref="F2" authorId="0" shapeId="0">
      <text>
        <r>
          <rPr>
            <b/>
            <sz val="9"/>
            <color indexed="81"/>
            <rFont val="Tahoma"/>
            <family val="2"/>
          </rPr>
          <t xml:space="preserve">Job Description
</t>
        </r>
        <r>
          <rPr>
            <sz val="9"/>
            <color indexed="81"/>
            <rFont val="Tahoma"/>
            <family val="2"/>
          </rPr>
          <t>1.14 Provides a standard of service that reflects bet365's Customer Service Ethos
1.9 Remains assertive and polite when in dispute with the customer</t>
        </r>
        <r>
          <rPr>
            <b/>
            <sz val="9"/>
            <color indexed="81"/>
            <rFont val="Tahoma"/>
            <family val="2"/>
          </rPr>
          <t xml:space="preserve">
Measurable Outputs
</t>
        </r>
        <r>
          <rPr>
            <sz val="9"/>
            <color indexed="81"/>
            <rFont val="Tahoma"/>
            <family val="2"/>
          </rPr>
          <t>• Responses are unsuitable, offensive or impolite towards the customer.
• Blame customer for whatever was happening.</t>
        </r>
        <r>
          <rPr>
            <b/>
            <sz val="9"/>
            <color indexed="81"/>
            <rFont val="Tahoma"/>
            <family val="2"/>
          </rPr>
          <t xml:space="preserve">
Follow Up Actions
</t>
        </r>
        <r>
          <rPr>
            <sz val="9"/>
            <color indexed="81"/>
            <rFont val="Tahoma"/>
            <family val="2"/>
          </rPr>
          <t>• Manager Action - Any Occurrence</t>
        </r>
      </text>
    </comment>
    <comment ref="B3" authorId="0" shapeId="0">
      <text>
        <r>
          <rPr>
            <sz val="9"/>
            <color indexed="81"/>
            <rFont val="Tahoma"/>
            <family val="2"/>
          </rPr>
          <t>refer inappropriate or rude language part</t>
        </r>
      </text>
    </comment>
    <comment ref="D3" authorId="0" shapeId="0">
      <text>
        <r>
          <rPr>
            <b/>
            <sz val="9"/>
            <color indexed="81"/>
            <rFont val="Tahoma"/>
            <family val="2"/>
          </rPr>
          <t xml:space="preserve">Job Description
</t>
        </r>
        <r>
          <rPr>
            <sz val="9"/>
            <color indexed="81"/>
            <rFont val="Tahoma"/>
            <family val="2"/>
          </rPr>
          <t xml:space="preserve">No fixed JD, depends on the situation. </t>
        </r>
        <r>
          <rPr>
            <b/>
            <sz val="9"/>
            <color indexed="81"/>
            <rFont val="Tahoma"/>
            <family val="2"/>
          </rPr>
          <t xml:space="preserve">
Measurable Outputs
</t>
        </r>
        <r>
          <rPr>
            <sz val="9"/>
            <color indexed="81"/>
            <rFont val="Tahoma"/>
            <family val="2"/>
          </rPr>
          <t xml:space="preserve">• Information given is in violating with company's policies, terms and department processes and no correction is made in the contact.
• Disclose internal only information to customer. </t>
        </r>
        <r>
          <rPr>
            <b/>
            <sz val="9"/>
            <color indexed="81"/>
            <rFont val="Tahoma"/>
            <family val="2"/>
          </rPr>
          <t xml:space="preserve">
Follow Up Actions
</t>
        </r>
        <r>
          <rPr>
            <sz val="9"/>
            <color indexed="81"/>
            <rFont val="Tahoma"/>
            <family val="2"/>
          </rPr>
          <t>• Feedback - Any Occurrence.
• Coach (Following by feedback meeting, consider coaching if root cause is the coaching area from Resolve / Inform / Enhance)
• Manager Action - Further Occurrence where no coaching is needed.</t>
        </r>
      </text>
    </comment>
    <comment ref="F3" authorId="0" shapeId="0">
      <text>
        <r>
          <rPr>
            <b/>
            <sz val="9"/>
            <color indexed="81"/>
            <rFont val="Tahoma"/>
            <family val="2"/>
          </rPr>
          <t xml:space="preserve">Job Description
</t>
        </r>
        <r>
          <rPr>
            <sz val="9"/>
            <color indexed="81"/>
            <rFont val="Tahoma"/>
            <family val="2"/>
          </rPr>
          <t xml:space="preserve">No fixed JD, depends on the situation. </t>
        </r>
        <r>
          <rPr>
            <b/>
            <sz val="9"/>
            <color indexed="81"/>
            <rFont val="Tahoma"/>
            <family val="2"/>
          </rPr>
          <t xml:space="preserve">
Measurable Outputs
</t>
        </r>
        <r>
          <rPr>
            <sz val="9"/>
            <color indexed="81"/>
            <rFont val="Tahoma"/>
            <family val="2"/>
          </rPr>
          <t xml:space="preserve">• Information given is in violating with company's policies, terms and department processes and no correction is made in the contact.
• Disclose internal only information to customer. </t>
        </r>
        <r>
          <rPr>
            <b/>
            <sz val="9"/>
            <color indexed="81"/>
            <rFont val="Tahoma"/>
            <family val="2"/>
          </rPr>
          <t xml:space="preserve">
Follow Up Actions
</t>
        </r>
        <r>
          <rPr>
            <sz val="9"/>
            <color indexed="81"/>
            <rFont val="Tahoma"/>
            <family val="2"/>
          </rPr>
          <t>• Feedback - Any Occurrence.
• Coach (Following by feedback meeting, consider coaching if root cause is the coaching area from Resolve / Inform / Enhance)
• Manager Action - Further Occurrence where no coaching is needed.</t>
        </r>
      </text>
    </comment>
    <comment ref="B4" authorId="0" shapeId="0">
      <text>
        <r>
          <rPr>
            <b/>
            <sz val="9"/>
            <color indexed="81"/>
            <rFont val="Tahoma"/>
            <family val="2"/>
          </rPr>
          <t xml:space="preserve">Job Description
</t>
        </r>
        <r>
          <rPr>
            <sz val="9"/>
            <color indexed="81"/>
            <rFont val="Tahoma"/>
            <family val="2"/>
          </rPr>
          <t xml:space="preserve">No fixed JD, depends on the situation. </t>
        </r>
        <r>
          <rPr>
            <b/>
            <sz val="9"/>
            <color indexed="81"/>
            <rFont val="Tahoma"/>
            <family val="2"/>
          </rPr>
          <t xml:space="preserve">
Measurable Outputs
</t>
        </r>
        <r>
          <rPr>
            <sz val="9"/>
            <color indexed="81"/>
            <rFont val="Tahoma"/>
            <family val="2"/>
          </rPr>
          <t xml:space="preserve">• Information given is in violating with company's policies, terms and department processes and no correction is made in the contact.
• Disclose internal only information to customer. </t>
        </r>
        <r>
          <rPr>
            <b/>
            <sz val="9"/>
            <color indexed="81"/>
            <rFont val="Tahoma"/>
            <family val="2"/>
          </rPr>
          <t xml:space="preserve">
Follow Up Actions
</t>
        </r>
        <r>
          <rPr>
            <sz val="9"/>
            <color indexed="81"/>
            <rFont val="Tahoma"/>
            <family val="2"/>
          </rPr>
          <t>• Feedback - Any Occurrence.
• Coach (Following by feedback meeting, consider coaching if root cause is the coaching area from Resolve / Inform / Enhance)
• Manager Action - Further Occurrence where no coaching is needed.</t>
        </r>
      </text>
    </comment>
    <comment ref="D4" authorId="0" shapeId="0">
      <text>
        <r>
          <rPr>
            <b/>
            <sz val="9"/>
            <color indexed="81"/>
            <rFont val="Tahoma"/>
            <family val="2"/>
          </rPr>
          <t xml:space="preserve">Job Description
</t>
        </r>
        <r>
          <rPr>
            <sz val="9"/>
            <color indexed="81"/>
            <rFont val="Tahoma"/>
            <family val="2"/>
          </rPr>
          <t xml:space="preserve">No fixed JD, depends on the situation. </t>
        </r>
        <r>
          <rPr>
            <b/>
            <sz val="9"/>
            <color indexed="81"/>
            <rFont val="Tahoma"/>
            <family val="2"/>
          </rPr>
          <t xml:space="preserve">
Measurable Outputs
</t>
        </r>
        <r>
          <rPr>
            <sz val="9"/>
            <color indexed="81"/>
            <rFont val="Tahoma"/>
            <family val="2"/>
          </rPr>
          <t xml:space="preserve">• Information given is in line company's policies, terms and department processes, but not relevant to customer's query. </t>
        </r>
        <r>
          <rPr>
            <b/>
            <sz val="9"/>
            <color indexed="81"/>
            <rFont val="Tahoma"/>
            <family val="2"/>
          </rPr>
          <t xml:space="preserve">
Follow Up Actions
</t>
        </r>
        <r>
          <rPr>
            <sz val="9"/>
            <color indexed="81"/>
            <rFont val="Tahoma"/>
            <family val="2"/>
          </rPr>
          <t>Action depends on the situation.
• Coach (Consider coaching if root cause is coaching area from Resolve / Inform / Enhance)</t>
        </r>
      </text>
    </comment>
    <comment ref="F4" authorId="0" shapeId="0">
      <text>
        <r>
          <rPr>
            <b/>
            <sz val="9"/>
            <color indexed="81"/>
            <rFont val="Tahoma"/>
            <family val="2"/>
          </rPr>
          <t xml:space="preserve">Job Description
</t>
        </r>
        <r>
          <rPr>
            <sz val="9"/>
            <color indexed="81"/>
            <rFont val="Tahoma"/>
            <family val="2"/>
          </rPr>
          <t xml:space="preserve">No fixed JD, depends on the situation. </t>
        </r>
        <r>
          <rPr>
            <b/>
            <sz val="9"/>
            <color indexed="81"/>
            <rFont val="Tahoma"/>
            <family val="2"/>
          </rPr>
          <t xml:space="preserve">
Measurable Outputs
</t>
        </r>
        <r>
          <rPr>
            <sz val="9"/>
            <color indexed="81"/>
            <rFont val="Tahoma"/>
            <family val="2"/>
          </rPr>
          <t xml:space="preserve">• Information given is in line company's policies, terms and department processes, but not relevant to customer's query. </t>
        </r>
        <r>
          <rPr>
            <b/>
            <sz val="9"/>
            <color indexed="81"/>
            <rFont val="Tahoma"/>
            <family val="2"/>
          </rPr>
          <t xml:space="preserve">
Follow Up Actions
</t>
        </r>
        <r>
          <rPr>
            <sz val="9"/>
            <color indexed="81"/>
            <rFont val="Tahoma"/>
            <family val="2"/>
          </rPr>
          <t>Action depends on the situation.
• Coach (Consider coaching if root cause is coaching area from Resolve / Inform / Enhance)</t>
        </r>
      </text>
    </comment>
    <comment ref="B5" authorId="0" shapeId="0">
      <text>
        <r>
          <rPr>
            <b/>
            <sz val="9"/>
            <color indexed="81"/>
            <rFont val="Tahoma"/>
            <family val="2"/>
          </rPr>
          <t xml:space="preserve">Job Description
</t>
        </r>
        <r>
          <rPr>
            <sz val="9"/>
            <color indexed="81"/>
            <rFont val="Tahoma"/>
            <family val="2"/>
          </rPr>
          <t xml:space="preserve">No fixed JD, depends on the situation. </t>
        </r>
        <r>
          <rPr>
            <b/>
            <sz val="9"/>
            <color indexed="81"/>
            <rFont val="Tahoma"/>
            <family val="2"/>
          </rPr>
          <t xml:space="preserve">
Measurable Outputs
</t>
        </r>
        <r>
          <rPr>
            <sz val="9"/>
            <color indexed="81"/>
            <rFont val="Tahoma"/>
            <family val="2"/>
          </rPr>
          <t xml:space="preserve">• Information given is in line company's policies, terms and department processes, but not relevant to customer's query. </t>
        </r>
        <r>
          <rPr>
            <b/>
            <sz val="9"/>
            <color indexed="81"/>
            <rFont val="Tahoma"/>
            <family val="2"/>
          </rPr>
          <t xml:space="preserve">
Follow Up Actions
</t>
        </r>
        <r>
          <rPr>
            <sz val="9"/>
            <color indexed="81"/>
            <rFont val="Tahoma"/>
            <family val="2"/>
          </rPr>
          <t>Action depends on the situation.
• Coach (Consider coaching if root cause is coaching area from Resolve / Inform / Enhance)</t>
        </r>
      </text>
    </comment>
    <comment ref="D5" authorId="0" shapeId="0">
      <text>
        <r>
          <rPr>
            <b/>
            <sz val="9"/>
            <color indexed="81"/>
            <rFont val="Tahoma"/>
            <family val="2"/>
          </rPr>
          <t xml:space="preserve">Job Description
</t>
        </r>
        <r>
          <rPr>
            <sz val="9"/>
            <color indexed="81"/>
            <rFont val="Tahoma"/>
            <family val="2"/>
          </rPr>
          <t>4.4 Quickly recognises where an issue is beyond the remit of their role and escalates to the correct person/ department
4.5 Recognises where a potential gambling issue exists and escalates immediately
4.6 Escalates any queries that are left unresolved or where the customer remains unhappy with the resolution
4.7 Documents complaint notes to ensure accuracy, clarity and conciseness 
4.8 Quickly identifies KA/ VIP customers and apply correct department process.</t>
        </r>
        <r>
          <rPr>
            <b/>
            <sz val="9"/>
            <color indexed="81"/>
            <rFont val="Tahoma"/>
            <family val="2"/>
          </rPr>
          <t xml:space="preserve">
Measurable Outputs
</t>
        </r>
        <r>
          <rPr>
            <sz val="9"/>
            <color indexed="81"/>
            <rFont val="Tahoma"/>
            <family val="2"/>
          </rPr>
          <t>• Did not escalate where VIP 14/15 customers raise complaints
• Did not escalate where a potential gambling issue exists
• Did not escalate technical issue.
• Did not escalate when the customer remains unhappy with the resolution / outcome.
• Did not record complaints via account manager.
• Decision made outside own remit without authorization.</t>
        </r>
        <r>
          <rPr>
            <b/>
            <sz val="9"/>
            <color indexed="81"/>
            <rFont val="Tahoma"/>
            <family val="2"/>
          </rPr>
          <t xml:space="preserve">
Follow Up Actions
</t>
        </r>
        <r>
          <rPr>
            <sz val="9"/>
            <color indexed="81"/>
            <rFont val="Tahoma"/>
            <family val="2"/>
          </rPr>
          <t>• Reminder - 1 Occurrence 
• Feedback - 2 Occurrence 
• Manager Action - 3 or More Occurrence 
• Coach (Following by Reminder / Feedback, consider coaching if root cause is the coaching area from Resolve / Inform / Enhance)</t>
        </r>
      </text>
    </comment>
    <comment ref="F5" authorId="0" shapeId="0">
      <text>
        <r>
          <rPr>
            <b/>
            <sz val="9"/>
            <color indexed="81"/>
            <rFont val="Tahoma"/>
            <family val="2"/>
          </rPr>
          <t xml:space="preserve">Job Description
</t>
        </r>
        <r>
          <rPr>
            <sz val="9"/>
            <color indexed="81"/>
            <rFont val="Tahoma"/>
            <family val="2"/>
          </rPr>
          <t>4.4 Quickly recognises where an issue is beyond the remit of their role and escalates to the correct person/ department
4.5 Recognises where a potential gambling issue exists and escalates immediately
4.6 Escalates any queries that are left unresolved or where the customer remains unhappy with the resolution
4.7 Documents complaint notes to ensure accuracy, clarity and conciseness 
4.8 Quickly identifies KA/ VIP customers and apply correct department process.</t>
        </r>
        <r>
          <rPr>
            <b/>
            <sz val="9"/>
            <color indexed="81"/>
            <rFont val="Tahoma"/>
            <family val="2"/>
          </rPr>
          <t xml:space="preserve">
Measurable Outputs
</t>
        </r>
        <r>
          <rPr>
            <sz val="9"/>
            <color indexed="81"/>
            <rFont val="Tahoma"/>
            <family val="2"/>
          </rPr>
          <t>• Did not escalate where VIP 14/15 customers raise complaints
• Did not escalate where a potential gambling issue exists
• Did not escalate technical issue.
• Did not escalate when the customer remains unhappy with the resolution / outcome.
• Did not record complaints via account manager.
• Decision made outside own remit without authorization.</t>
        </r>
        <r>
          <rPr>
            <b/>
            <sz val="9"/>
            <color indexed="81"/>
            <rFont val="Tahoma"/>
            <family val="2"/>
          </rPr>
          <t xml:space="preserve">
Follow Up Actions
</t>
        </r>
        <r>
          <rPr>
            <sz val="9"/>
            <color indexed="81"/>
            <rFont val="Tahoma"/>
            <family val="2"/>
          </rPr>
          <t>• Reminder - 1 Occurrence 
• Feedback - 2 Occurrence 
• Manager Action - 3 or More Occurrence 
• Coach (Following by Reminder / Feedback, consider coaching if root cause is the coaching area from Resolve / Inform / Enhance)</t>
        </r>
      </text>
    </comment>
    <comment ref="B6" authorId="0" shapeId="0">
      <text>
        <r>
          <rPr>
            <b/>
            <sz val="9"/>
            <color indexed="81"/>
            <rFont val="Tahoma"/>
            <family val="2"/>
          </rPr>
          <t xml:space="preserve">Job Description
</t>
        </r>
        <r>
          <rPr>
            <sz val="9"/>
            <color indexed="81"/>
            <rFont val="Tahoma"/>
            <family val="2"/>
          </rPr>
          <t>4.4 Quickly recognises where an issue is beyond the remit of their role and escalates to the correct person/ department
4.5 Recognises where a potential gambling issue exists and escalates immediately
4.6 Escalates any queries that are left unresolved or where the customer remains unhappy with the resolution
4.7 Documents complaint notes to ensure accuracy, clarity and conciseness 
4.8 Quickly identifies KA/ VIP customers and apply correct department process.</t>
        </r>
        <r>
          <rPr>
            <b/>
            <sz val="9"/>
            <color indexed="81"/>
            <rFont val="Tahoma"/>
            <family val="2"/>
          </rPr>
          <t xml:space="preserve">
Measurable Outputs
</t>
        </r>
        <r>
          <rPr>
            <sz val="9"/>
            <color indexed="81"/>
            <rFont val="Tahoma"/>
            <family val="2"/>
          </rPr>
          <t>• Did not escalate where VIP 14/15 customers raise complaints
• Did not escalate where a potential gambling issue exists
• Did not escalate technical issue.
• Did not escalate when the customer remains unhappy with the resolution / outcome.
• Did not record complaints via account manager.
• Decision made outside own remit without authorization.</t>
        </r>
        <r>
          <rPr>
            <b/>
            <sz val="9"/>
            <color indexed="81"/>
            <rFont val="Tahoma"/>
            <family val="2"/>
          </rPr>
          <t xml:space="preserve">
Follow Up Actions
</t>
        </r>
        <r>
          <rPr>
            <sz val="9"/>
            <color indexed="81"/>
            <rFont val="Tahoma"/>
            <family val="2"/>
          </rPr>
          <t>• Reminder - 1 Occurrence 
• Feedback - 2 Occurrence 
• Manager Action - 3 or More Occurrence 
• Coach (Following by Reminder / Feedback, consider coaching if root cause is the coaching area from Resolve / Inform / Enhance)</t>
        </r>
      </text>
    </comment>
    <comment ref="D6" authorId="0" shapeId="0">
      <text>
        <r>
          <rPr>
            <b/>
            <sz val="9"/>
            <color indexed="81"/>
            <rFont val="Tahoma"/>
            <family val="2"/>
          </rPr>
          <t xml:space="preserve">Job Description
</t>
        </r>
        <r>
          <rPr>
            <sz val="9"/>
            <color indexed="81"/>
            <rFont val="Tahoma"/>
            <family val="2"/>
          </rPr>
          <t xml:space="preserve">
1.6 Takes ownership of the issue to the point of resolution or escalation</t>
        </r>
        <r>
          <rPr>
            <b/>
            <sz val="9"/>
            <color indexed="81"/>
            <rFont val="Tahoma"/>
            <family val="2"/>
          </rPr>
          <t xml:space="preserve">
Measurable Outputs
</t>
        </r>
        <r>
          <rPr>
            <sz val="9"/>
            <color indexed="81"/>
            <rFont val="Tahoma"/>
            <family val="2"/>
          </rPr>
          <t>• Chat ended without giving any essential information or resolution.
• Chat ended where customer does not understand the information being given / does not accept the resolution.
• Push customer to another contact channel where query can be dealt with at existing one.</t>
        </r>
        <r>
          <rPr>
            <b/>
            <sz val="9"/>
            <color indexed="81"/>
            <rFont val="Tahoma"/>
            <family val="2"/>
          </rPr>
          <t xml:space="preserve">
Follow Up Actions
</t>
        </r>
        <r>
          <rPr>
            <sz val="9"/>
            <color indexed="81"/>
            <rFont val="Tahoma"/>
            <family val="2"/>
          </rPr>
          <t>• Feedback - 1 Occurrence 
• Manager Action - 2 or more Occurrence</t>
        </r>
      </text>
    </comment>
    <comment ref="F6" authorId="0" shapeId="0">
      <text>
        <r>
          <rPr>
            <b/>
            <sz val="9"/>
            <color indexed="81"/>
            <rFont val="Tahoma"/>
            <family val="2"/>
          </rPr>
          <t xml:space="preserve">Job Description
</t>
        </r>
        <r>
          <rPr>
            <sz val="9"/>
            <color indexed="81"/>
            <rFont val="Tahoma"/>
            <family val="2"/>
          </rPr>
          <t>1.1 Introduces themselves and bet365 in a positive manner
1.16 Follows best practice guidelines when communicating with customers</t>
        </r>
        <r>
          <rPr>
            <b/>
            <sz val="9"/>
            <color indexed="81"/>
            <rFont val="Tahoma"/>
            <family val="2"/>
          </rPr>
          <t xml:space="preserve">
Measurable Outputs
</t>
        </r>
        <r>
          <rPr>
            <sz val="9"/>
            <color indexed="81"/>
            <rFont val="Tahoma"/>
            <family val="2"/>
          </rPr>
          <t>Correct opening is used (Asian KB 698)</t>
        </r>
        <r>
          <rPr>
            <b/>
            <sz val="9"/>
            <color indexed="81"/>
            <rFont val="Tahoma"/>
            <family val="2"/>
          </rPr>
          <t xml:space="preserve">
Follow Up Actions
</t>
        </r>
        <r>
          <rPr>
            <sz val="9"/>
            <color indexed="81"/>
            <rFont val="Tahoma"/>
            <family val="2"/>
          </rPr>
          <t>• Reminder</t>
        </r>
      </text>
    </comment>
    <comment ref="B7" authorId="0" shapeId="0">
      <text>
        <r>
          <rPr>
            <b/>
            <sz val="9"/>
            <color indexed="81"/>
            <rFont val="Tahoma"/>
            <family val="2"/>
          </rPr>
          <t xml:space="preserve">Job Description
</t>
        </r>
        <r>
          <rPr>
            <sz val="9"/>
            <color indexed="81"/>
            <rFont val="Tahoma"/>
            <family val="2"/>
          </rPr>
          <t xml:space="preserve">
1.6 Takes ownership of the issue to the point of resolution or escalation</t>
        </r>
        <r>
          <rPr>
            <b/>
            <sz val="9"/>
            <color indexed="81"/>
            <rFont val="Tahoma"/>
            <family val="2"/>
          </rPr>
          <t xml:space="preserve">
Measurable Outputs
</t>
        </r>
        <r>
          <rPr>
            <sz val="9"/>
            <color indexed="81"/>
            <rFont val="Tahoma"/>
            <family val="2"/>
          </rPr>
          <t xml:space="preserve">
• Chat ended without giving any essential information or resolution.
• Chat ended where customer does not understand the information being given / does not accept the resolution.
• Push customer to another contact channel where query can be dealt with at existing one.</t>
        </r>
        <r>
          <rPr>
            <b/>
            <sz val="9"/>
            <color indexed="81"/>
            <rFont val="Tahoma"/>
            <family val="2"/>
          </rPr>
          <t xml:space="preserve">
Follow Up Actions
</t>
        </r>
        <r>
          <rPr>
            <sz val="9"/>
            <color indexed="81"/>
            <rFont val="Tahoma"/>
            <family val="2"/>
          </rPr>
          <t>• Feedback - 1 Occurrence 
• Manager Action - 2 or more Occurrence</t>
        </r>
      </text>
    </comment>
    <comment ref="D7" authorId="0" shapeId="0">
      <text>
        <r>
          <rPr>
            <b/>
            <sz val="9"/>
            <color indexed="81"/>
            <rFont val="Tahoma"/>
            <family val="2"/>
          </rPr>
          <t xml:space="preserve">Job Description
</t>
        </r>
        <r>
          <rPr>
            <sz val="9"/>
            <color indexed="81"/>
            <rFont val="Tahoma"/>
            <family val="2"/>
          </rPr>
          <t>1.1 Introduces themselves and bet365 in a positive manner
1.16 Follows best practice guidelines when communicating with customers</t>
        </r>
        <r>
          <rPr>
            <b/>
            <sz val="9"/>
            <color indexed="81"/>
            <rFont val="Tahoma"/>
            <family val="2"/>
          </rPr>
          <t xml:space="preserve">
Measurable Outputs
</t>
        </r>
        <r>
          <rPr>
            <sz val="9"/>
            <color indexed="81"/>
            <rFont val="Tahoma"/>
            <family val="2"/>
          </rPr>
          <t>Correct opening is used (Asian KB 698)</t>
        </r>
        <r>
          <rPr>
            <b/>
            <sz val="9"/>
            <color indexed="81"/>
            <rFont val="Tahoma"/>
            <family val="2"/>
          </rPr>
          <t xml:space="preserve">
Follow Up Actions
</t>
        </r>
        <r>
          <rPr>
            <sz val="9"/>
            <color indexed="81"/>
            <rFont val="Tahoma"/>
            <family val="2"/>
          </rPr>
          <t>• Reminder</t>
        </r>
      </text>
    </comment>
    <comment ref="F7" authorId="0" shapeId="0">
      <text>
        <r>
          <rPr>
            <b/>
            <sz val="9"/>
            <color indexed="81"/>
            <rFont val="Tahoma"/>
            <family val="2"/>
          </rPr>
          <t xml:space="preserve">Job Description
</t>
        </r>
        <r>
          <rPr>
            <sz val="9"/>
            <color indexed="81"/>
            <rFont val="Tahoma"/>
            <family val="2"/>
          </rPr>
          <t xml:space="preserve">2.2 Refers to the KB when investigating the customer's query
4.1 Investigates issues thoroughly prior to making decisions on an account
2.7 Checks the Sports Information Centre regularly for current information </t>
        </r>
        <r>
          <rPr>
            <b/>
            <sz val="9"/>
            <color indexed="81"/>
            <rFont val="Tahoma"/>
            <family val="2"/>
          </rPr>
          <t xml:space="preserve">
Measurable Outputs
</t>
        </r>
        <r>
          <rPr>
            <sz val="9"/>
            <color indexed="81"/>
            <rFont val="Tahoma"/>
            <family val="2"/>
          </rPr>
          <t xml:space="preserve">Met 
• Access account manager for all existing customers.
+
• All essential information that is accessible at advisors' end for investigation, are reflected on their resolution or guidance
</t>
        </r>
        <r>
          <rPr>
            <b/>
            <sz val="9"/>
            <color indexed="81"/>
            <rFont val="Tahoma"/>
            <family val="2"/>
          </rPr>
          <t xml:space="preserve">
Follow Up Actions
</t>
        </r>
        <r>
          <rPr>
            <sz val="9"/>
            <color indexed="81"/>
            <rFont val="Tahoma"/>
            <family val="2"/>
          </rPr>
          <t xml:space="preserve">
• Potential Root Cause of Coaching
A: Attitude to Service - Advisor does not know it is their responsibility to gather using all resource available.
S: Systems Use - Advisor does not know which resource is available to investigate.
K: knowledge - Advisor does not know what essential information needs to be gathered for investigation.
Refer to Sup if 
• Route cause falls outside ASK. 
• Further occurrence after 2 PDPs are completed at the same develop need area. 
• Feedback -  Advisor did not enter AM (Any Occurrence)
• Manager Action - Further Occurrence after feedback. Advisor did not enter AM </t>
        </r>
      </text>
    </comment>
    <comment ref="B8" authorId="0" shapeId="0">
      <text>
        <r>
          <rPr>
            <b/>
            <sz val="9"/>
            <color indexed="81"/>
            <rFont val="Tahoma"/>
            <family val="2"/>
          </rPr>
          <t xml:space="preserve">Job Description
</t>
        </r>
        <r>
          <rPr>
            <sz val="9"/>
            <color indexed="81"/>
            <rFont val="Tahoma"/>
            <family val="2"/>
          </rPr>
          <t>1.1 Introduces themselves and bet365 in a positive manner
1.16 Follows best practice guidelines when communicating with customers</t>
        </r>
        <r>
          <rPr>
            <b/>
            <sz val="9"/>
            <color indexed="81"/>
            <rFont val="Tahoma"/>
            <family val="2"/>
          </rPr>
          <t xml:space="preserve">
Measurable Outputs
</t>
        </r>
        <r>
          <rPr>
            <sz val="9"/>
            <color indexed="81"/>
            <rFont val="Tahoma"/>
            <family val="2"/>
          </rPr>
          <t>Correct opening is used (Asian KB 698)</t>
        </r>
        <r>
          <rPr>
            <b/>
            <sz val="9"/>
            <color indexed="81"/>
            <rFont val="Tahoma"/>
            <family val="2"/>
          </rPr>
          <t xml:space="preserve">
Follow Up Actions
</t>
        </r>
        <r>
          <rPr>
            <sz val="9"/>
            <color indexed="81"/>
            <rFont val="Tahoma"/>
            <family val="2"/>
          </rPr>
          <t>• Reminder</t>
        </r>
      </text>
    </comment>
    <comment ref="D8" authorId="0" shapeId="0">
      <text>
        <r>
          <rPr>
            <b/>
            <sz val="9"/>
            <color indexed="81"/>
            <rFont val="Tahoma"/>
            <family val="2"/>
          </rPr>
          <t xml:space="preserve">Job Description
</t>
        </r>
        <r>
          <rPr>
            <sz val="9"/>
            <color indexed="81"/>
            <rFont val="Tahoma"/>
            <family val="2"/>
          </rPr>
          <t xml:space="preserve">2.2 Refers to the KB when investigating the customer's query
4.1 Investigates issues thoroughly prior to making decisions on an account
2.7 Checks the Sports Information Centre regularly for current information </t>
        </r>
        <r>
          <rPr>
            <b/>
            <sz val="9"/>
            <color indexed="81"/>
            <rFont val="Tahoma"/>
            <family val="2"/>
          </rPr>
          <t xml:space="preserve">
Measurable Outputs
</t>
        </r>
        <r>
          <rPr>
            <sz val="9"/>
            <color indexed="81"/>
            <rFont val="Tahoma"/>
            <family val="2"/>
          </rPr>
          <t xml:space="preserve">Met 
• Access account manager for all existing customers.
+
• All essential information that is accessible at advisors' end for investigation, are reflected on their resolution or guidance
</t>
        </r>
        <r>
          <rPr>
            <b/>
            <sz val="9"/>
            <color indexed="81"/>
            <rFont val="Tahoma"/>
            <family val="2"/>
          </rPr>
          <t xml:space="preserve">
Follow Up Actions
</t>
        </r>
        <r>
          <rPr>
            <sz val="9"/>
            <color indexed="81"/>
            <rFont val="Tahoma"/>
            <family val="2"/>
          </rPr>
          <t xml:space="preserve">
• Potential Root Cause of Coaching
A: Attitude to Service - Advisor does not know it is their responsibility to gather using all resource available.
S: Systems Use - Advisor does not know which resource is available to investigate.
K: knowledge - Advisor does not know what essential information needs to be gathered for investigation.
Refer to Sup if 
• Route cause falls outside ASK. 
• Further occurrence after 2 PDPs are completed at the same develop need area. 
• Feedback -  Advisor did not enter AM (Any Occurrence)
• Manager Action - Further Occurrence after feedback. Advisor did not enter AM </t>
        </r>
      </text>
    </comment>
    <comment ref="F8" authorId="0" shapeId="0">
      <text>
        <r>
          <rPr>
            <b/>
            <sz val="9"/>
            <color indexed="81"/>
            <rFont val="Tahoma"/>
            <family val="2"/>
          </rPr>
          <t xml:space="preserve">Job Description
</t>
        </r>
        <r>
          <rPr>
            <sz val="9"/>
            <color indexed="81"/>
            <rFont val="Tahoma"/>
            <family val="2"/>
          </rPr>
          <t xml:space="preserve">
1.3 Gathers information through the use of effective questioning
1.4 Actively listens to and clarifies the issue / query with the customer</t>
        </r>
        <r>
          <rPr>
            <b/>
            <sz val="9"/>
            <color indexed="81"/>
            <rFont val="Tahoma"/>
            <family val="2"/>
          </rPr>
          <t xml:space="preserve">
Measurable Outputs
</t>
        </r>
        <r>
          <rPr>
            <sz val="9"/>
            <color indexed="81"/>
            <rFont val="Tahoma"/>
            <family val="2"/>
          </rPr>
          <t>Met 
• Ask relevant question to understand the query and gather essential information (If customer did not provide already)
+
• Summary what customer said to confirm full understanding.</t>
        </r>
        <r>
          <rPr>
            <b/>
            <sz val="9"/>
            <color indexed="81"/>
            <rFont val="Tahoma"/>
            <family val="2"/>
          </rPr>
          <t xml:space="preserve">
Follow Up Actions
</t>
        </r>
        <r>
          <rPr>
            <sz val="9"/>
            <color indexed="81"/>
            <rFont val="Tahoma"/>
            <family val="2"/>
          </rPr>
          <t xml:space="preserve">• Potential Root Cause for Coaching 
A: Attitude to Service - Advisor does not know it is their responsibility to ask for the information from customer, or whether they are able to ask for the information from customer within their remit. 
S: Systems Use - Advisor does not know which official resource they can refer to for guidance.
K: knowledge - Advisor does not know what information needs to be gathered from customer.
Refer to Sup if 
• Route cause falls outside ASK. 
• Further occurrence after 2 PDPs are completed at the same Develop Need Area. </t>
        </r>
      </text>
    </comment>
    <comment ref="B9" authorId="0" shapeId="0">
      <text>
        <r>
          <rPr>
            <b/>
            <sz val="9"/>
            <color indexed="81"/>
            <rFont val="Tahoma"/>
            <family val="2"/>
          </rPr>
          <t xml:space="preserve">Job Description
</t>
        </r>
        <r>
          <rPr>
            <sz val="9"/>
            <color indexed="81"/>
            <rFont val="Tahoma"/>
            <family val="2"/>
          </rPr>
          <t xml:space="preserve">2.2 Refers to the KB when investigating the customer's query
4.1 Investigates issues thoroughly prior to making decisions on an account
2.7 Checks the Sports Information Centre regularly for current information </t>
        </r>
        <r>
          <rPr>
            <b/>
            <sz val="9"/>
            <color indexed="81"/>
            <rFont val="Tahoma"/>
            <family val="2"/>
          </rPr>
          <t xml:space="preserve">
Measurable Outputs
</t>
        </r>
        <r>
          <rPr>
            <sz val="9"/>
            <color indexed="81"/>
            <rFont val="Tahoma"/>
            <family val="2"/>
          </rPr>
          <t xml:space="preserve">Met 
• Access account manager for all existing customers.
+
• All essential information that is accessible at advisors' end for investigation, are reflected on their resolution or guidance
</t>
        </r>
        <r>
          <rPr>
            <b/>
            <sz val="9"/>
            <color indexed="81"/>
            <rFont val="Tahoma"/>
            <family val="2"/>
          </rPr>
          <t xml:space="preserve">
Follow Up Actions
</t>
        </r>
        <r>
          <rPr>
            <sz val="9"/>
            <color indexed="81"/>
            <rFont val="Tahoma"/>
            <family val="2"/>
          </rPr>
          <t xml:space="preserve">
• Potential Root Cause of Coaching
A: Attitude to Service - Advisor does not know it is their responsibility to gather using all resource available.
S: Systems Use - Advisor does not know which resource is available to investigate.
K: knowledge - Advisor does not know what essential information needs to be gathered for investigation.
Refer to Sup if 
• Route cause falls outside ASK. 
• Further occurrence after 2 PDPs are completed at the same develop need area. 
• Feedback -  Advisor did not enter AM (Any Occurrence)
• Manager Action - Further Occurrence after feedback. Advisor did not enter AM </t>
        </r>
      </text>
    </comment>
    <comment ref="D9" authorId="0" shapeId="0">
      <text>
        <r>
          <rPr>
            <b/>
            <sz val="9"/>
            <color indexed="81"/>
            <rFont val="Tahoma"/>
            <family val="2"/>
          </rPr>
          <t xml:space="preserve">Job Description
</t>
        </r>
        <r>
          <rPr>
            <sz val="9"/>
            <color indexed="81"/>
            <rFont val="Tahoma"/>
            <family val="2"/>
          </rPr>
          <t xml:space="preserve">
1.3 Gathers information through the use of effective questioning
1.4 Actively listens to and clarifies the issue / query with the customer</t>
        </r>
        <r>
          <rPr>
            <b/>
            <sz val="9"/>
            <color indexed="81"/>
            <rFont val="Tahoma"/>
            <family val="2"/>
          </rPr>
          <t xml:space="preserve">
Measurable Outputs
</t>
        </r>
        <r>
          <rPr>
            <sz val="9"/>
            <color indexed="81"/>
            <rFont val="Tahoma"/>
            <family val="2"/>
          </rPr>
          <t>Met 
• Ask relevant question to understand the query and gather essential information (If customer did not provide already)
+
• Summary what customer said to confirm full understanding.</t>
        </r>
        <r>
          <rPr>
            <b/>
            <sz val="9"/>
            <color indexed="81"/>
            <rFont val="Tahoma"/>
            <family val="2"/>
          </rPr>
          <t xml:space="preserve">
Follow Up Actions
</t>
        </r>
        <r>
          <rPr>
            <sz val="9"/>
            <color indexed="81"/>
            <rFont val="Tahoma"/>
            <family val="2"/>
          </rPr>
          <t xml:space="preserve">• Potential Root Cause for Coaching 
A: Attitude to Service - Advisor does not know it is their responsibility to ask for the information from customer, or whether they are able to ask for the information from customer within their remit. 
S: Systems Use - Advisor does not know which official resource they can refer to for guidance.
K: knowledge - Advisor does not know what information needs to be gathered from customer.
Refer to Sup if 
• Route cause falls outside ASK. 
• Further occurrence after 2 PDPs are completed at the same Develop Need Area. </t>
        </r>
      </text>
    </comment>
    <comment ref="F9" authorId="0" shapeId="0">
      <text>
        <r>
          <rPr>
            <b/>
            <sz val="9"/>
            <color indexed="81"/>
            <rFont val="Tahoma"/>
            <family val="2"/>
          </rPr>
          <t xml:space="preserve">Job Description
</t>
        </r>
        <r>
          <rPr>
            <sz val="9"/>
            <color indexed="81"/>
            <rFont val="Tahoma"/>
            <family val="2"/>
          </rPr>
          <t>1.6 Takes ownership of the issue to the point of resolution or escalation
1.8 Offers a resolution which benefits the customer and bet365
1.11 Is sensitive to the customer’s situation when discussing self-exclusion, deposit limits and other options with the customer
2.9 Keeps up-to-date with changes to bet365's practices and procedures by referring to the KB</t>
        </r>
        <r>
          <rPr>
            <b/>
            <sz val="9"/>
            <color indexed="81"/>
            <rFont val="Tahoma"/>
            <family val="2"/>
          </rPr>
          <t xml:space="preserve">
Measurable Outputs
</t>
        </r>
        <r>
          <rPr>
            <sz val="9"/>
            <color indexed="81"/>
            <rFont val="Tahoma"/>
            <family val="2"/>
          </rPr>
          <t>Met (All followings must be seen before offering further assistant, except that only guidance (No resolution) is needed in the contact, where this section should be 'met' by default)
• Offer first time resolution where possible.
+
• Resolution is totally in line with company policy and department process.
+ 
• Resolution is agreed by customer.
(Any resolution authorised by Supervisor can be deems as Agreeable and Reasonable when doing is review)</t>
        </r>
        <r>
          <rPr>
            <b/>
            <sz val="9"/>
            <color indexed="81"/>
            <rFont val="Tahoma"/>
            <family val="2"/>
          </rPr>
          <t xml:space="preserve">
Follow Up Actions
</t>
        </r>
        <r>
          <rPr>
            <sz val="9"/>
            <color indexed="81"/>
            <rFont val="Tahoma"/>
            <family val="2"/>
          </rPr>
          <t xml:space="preserve">• Potential Root Cause of Coaching 
A: Attitude to Service - Advisor does not know it is their responsibility to resolve the issue for customer, or whether they are able to resolve the issue within their remit. 
S: Systems Use - Advisor does not know which resource or tool they can refer to or use to resolve the issue.     
K: knowledge - Advisor does not know the options or procedures that can be used to resolve the issue.
Refer to Sup if 
• Route cause falls outside ASK. 
• Further occurrence after 2 PDPs are completed at the same Develop Need Area. </t>
        </r>
      </text>
    </comment>
    <comment ref="B10" authorId="0" shapeId="0">
      <text>
        <r>
          <rPr>
            <b/>
            <sz val="9"/>
            <color indexed="81"/>
            <rFont val="Tahoma"/>
            <family val="2"/>
          </rPr>
          <t xml:space="preserve">Job Description
</t>
        </r>
        <r>
          <rPr>
            <sz val="9"/>
            <color indexed="81"/>
            <rFont val="Tahoma"/>
            <family val="2"/>
          </rPr>
          <t xml:space="preserve">
1.3 Gathers information through the use of effective questioning
1.4 Actively listens to and clarifies the issue / query with the customer</t>
        </r>
        <r>
          <rPr>
            <b/>
            <sz val="9"/>
            <color indexed="81"/>
            <rFont val="Tahoma"/>
            <family val="2"/>
          </rPr>
          <t xml:space="preserve">
Measurable Outputs
</t>
        </r>
        <r>
          <rPr>
            <sz val="9"/>
            <color indexed="81"/>
            <rFont val="Tahoma"/>
            <family val="2"/>
          </rPr>
          <t>Met 
• Ask relevant question to understand the query and gather essential information (If customer did not provide already)
+
• Summary what customer said to confirm full understanding.</t>
        </r>
        <r>
          <rPr>
            <b/>
            <sz val="9"/>
            <color indexed="81"/>
            <rFont val="Tahoma"/>
            <family val="2"/>
          </rPr>
          <t xml:space="preserve">
Follow Up Actions
</t>
        </r>
        <r>
          <rPr>
            <sz val="9"/>
            <color indexed="81"/>
            <rFont val="Tahoma"/>
            <family val="2"/>
          </rPr>
          <t xml:space="preserve">• Potential Root Cause for Coaching 
A: Attitude to Service - Advisor does not know it is their responsibility to ask for the information from customer, or whether they are able to ask for the information from customer within their remit. 
S: Systems Use - Advisor does not know which official resource they can refer to for guidance.
K: knowledge - Advisor does not know what information needs to be gathered from customer.
Refer to Sup if 
• Route cause falls outside ASK. 
• Further occurrence after 2 PDPs are completed at the same Develop Need Area. </t>
        </r>
      </text>
    </comment>
    <comment ref="D10" authorId="0" shapeId="0">
      <text>
        <r>
          <rPr>
            <b/>
            <sz val="9"/>
            <color indexed="81"/>
            <rFont val="Tahoma"/>
            <family val="2"/>
          </rPr>
          <t xml:space="preserve">Job Description
</t>
        </r>
        <r>
          <rPr>
            <sz val="9"/>
            <color indexed="81"/>
            <rFont val="Tahoma"/>
            <family val="2"/>
          </rPr>
          <t>1.6 Takes ownership of the issue to the point of resolution or escalation
1.8 Offers a resolution which benefits the customer and bet365
1.11 Is sensitive to the customer’s situation when discussing self-exclusion, deposit limits and other options with the customer
2.9 Keeps up-to-date with changes to bet365's practices and procedures by referring to the KB</t>
        </r>
        <r>
          <rPr>
            <b/>
            <sz val="9"/>
            <color indexed="81"/>
            <rFont val="Tahoma"/>
            <family val="2"/>
          </rPr>
          <t xml:space="preserve">
Measurable Outputs
</t>
        </r>
        <r>
          <rPr>
            <sz val="9"/>
            <color indexed="81"/>
            <rFont val="Tahoma"/>
            <family val="2"/>
          </rPr>
          <t>Met (All followings must be seen before offering further assistant, except that only guidance (No resolution) is needed in the contact, where this section should be 'met' by default)
• Offer first time resolution where possible.
+
• Resolution is totally in line with company policy and department process.
+ 
• Resolution is agreed by customer.
(Any resolution authorised by Supervisor can be deems as Agreeable and Reasonable when doing is review)</t>
        </r>
        <r>
          <rPr>
            <b/>
            <sz val="9"/>
            <color indexed="81"/>
            <rFont val="Tahoma"/>
            <family val="2"/>
          </rPr>
          <t xml:space="preserve">
Follow Up Actions
</t>
        </r>
        <r>
          <rPr>
            <sz val="9"/>
            <color indexed="81"/>
            <rFont val="Tahoma"/>
            <family val="2"/>
          </rPr>
          <t xml:space="preserve">• Potential Root Cause of Coaching 
A: Attitude to Service - Advisor does not know it is their responsibility to resolve the issue for customer, or whether they are able to resolve the issue within their remit. 
S: Systems Use - Advisor does not know which resource or tool they can refer to or use to resolve the issue.     
K: knowledge - Advisor does not know the options or procedures that can be used to resolve the issue.
Refer to Sup if 
• Route cause falls outside ASK. 
• Further occurrence after 2 PDPs are completed at the same Develop Need Area. </t>
        </r>
      </text>
    </comment>
    <comment ref="F10" authorId="0" shapeId="0">
      <text>
        <r>
          <rPr>
            <b/>
            <sz val="9"/>
            <color indexed="81"/>
            <rFont val="Tahoma"/>
            <family val="2"/>
          </rPr>
          <t xml:space="preserve">Job Description
</t>
        </r>
        <r>
          <rPr>
            <sz val="9"/>
            <color indexed="81"/>
            <rFont val="Tahoma"/>
            <family val="2"/>
          </rPr>
          <t>1.16 Follows best practice guidelines when communicating with customers</t>
        </r>
        <r>
          <rPr>
            <b/>
            <sz val="9"/>
            <color indexed="81"/>
            <rFont val="Tahoma"/>
            <family val="2"/>
          </rPr>
          <t xml:space="preserve">
Measurable Outputs
-
Follow Up Actions
</t>
        </r>
        <r>
          <rPr>
            <sz val="9"/>
            <color indexed="81"/>
            <rFont val="Tahoma"/>
            <family val="2"/>
          </rPr>
          <t>• Reminder</t>
        </r>
      </text>
    </comment>
    <comment ref="B11" authorId="0" shapeId="0">
      <text>
        <r>
          <rPr>
            <b/>
            <sz val="9"/>
            <color indexed="81"/>
            <rFont val="Tahoma"/>
            <family val="2"/>
          </rPr>
          <t xml:space="preserve">Job Description
</t>
        </r>
        <r>
          <rPr>
            <sz val="9"/>
            <color indexed="81"/>
            <rFont val="Tahoma"/>
            <family val="2"/>
          </rPr>
          <t>1.6 Takes ownership of the issue to the point of resolution or escalation
1.8 Offers a resolution which benefits the customer and bet365
1.11 Is sensitive to the customer’s situation when discussing self-exclusion, deposit limits and other options with the customer
2.9 Keeps up-to-date with changes to bet365's practices and procedures by referring to the KB</t>
        </r>
        <r>
          <rPr>
            <b/>
            <sz val="9"/>
            <color indexed="81"/>
            <rFont val="Tahoma"/>
            <family val="2"/>
          </rPr>
          <t xml:space="preserve">
Measurable Outputs
</t>
        </r>
        <r>
          <rPr>
            <sz val="9"/>
            <color indexed="81"/>
            <rFont val="Tahoma"/>
            <family val="2"/>
          </rPr>
          <t>Met (All followings must be seen before offering further assistant, except that only guidance (No resolution) is needed in the contact, where this section should be 'met' by default)
• Offer first time resolution where possible.
+
• Resolution is totally in line with company policy and department process.
+ 
• Resolution is agreed by customer.
(Any resolution authorised by Supervisor can be deems as Agreeable and Reasonable when doing is review)</t>
        </r>
        <r>
          <rPr>
            <b/>
            <sz val="9"/>
            <color indexed="81"/>
            <rFont val="Tahoma"/>
            <family val="2"/>
          </rPr>
          <t xml:space="preserve">
Follow Up Actions
</t>
        </r>
        <r>
          <rPr>
            <sz val="9"/>
            <color indexed="81"/>
            <rFont val="Tahoma"/>
            <family val="2"/>
          </rPr>
          <t xml:space="preserve">• Potential Root Cause of Coaching 
A: Attitude to Service - Advisor does not know it is their responsibility to resolve the issue for customer, or whether they are able to resolve the issue within their remit. 
S: Systems Use - Advisor does not know which resource or tool they can refer to or use to resolve the issue.     
K: knowledge - Advisor does not know the options or procedures that can be used to resolve the issue.
Refer to Sup if 
• Route cause falls outside ASK. 
• Further occurrence after 2 PDPs are completed at the same Develop Need Area. </t>
        </r>
      </text>
    </comment>
    <comment ref="D11" authorId="0" shapeId="0">
      <text>
        <r>
          <rPr>
            <b/>
            <sz val="9"/>
            <color indexed="81"/>
            <rFont val="Tahoma"/>
            <family val="2"/>
          </rPr>
          <t xml:space="preserve">Job Description
</t>
        </r>
        <r>
          <rPr>
            <sz val="9"/>
            <color indexed="81"/>
            <rFont val="Tahoma"/>
            <family val="2"/>
          </rPr>
          <t>1.16 Follows best practice guidelines when communicating with customers</t>
        </r>
        <r>
          <rPr>
            <b/>
            <sz val="9"/>
            <color indexed="81"/>
            <rFont val="Tahoma"/>
            <family val="2"/>
          </rPr>
          <t xml:space="preserve">
Measurable Outputs
-
Follow Up Actions
</t>
        </r>
        <r>
          <rPr>
            <sz val="9"/>
            <color indexed="81"/>
            <rFont val="Tahoma"/>
            <family val="2"/>
          </rPr>
          <t>• Reminder</t>
        </r>
      </text>
    </comment>
    <comment ref="F11" authorId="0" shapeId="0">
      <text>
        <r>
          <rPr>
            <b/>
            <sz val="9"/>
            <color indexed="81"/>
            <rFont val="Tahoma"/>
            <family val="2"/>
          </rPr>
          <t xml:space="preserve">Job Description
</t>
        </r>
        <r>
          <rPr>
            <sz val="9"/>
            <color indexed="81"/>
            <rFont val="Tahoma"/>
            <family val="2"/>
          </rPr>
          <t xml:space="preserve">
1.2 Personalises each contact and communicates in a way that matches the customer's level of understanding </t>
        </r>
        <r>
          <rPr>
            <b/>
            <sz val="9"/>
            <color indexed="81"/>
            <rFont val="Tahoma"/>
            <family val="2"/>
          </rPr>
          <t xml:space="preserve">
Measurable Outputs
</t>
        </r>
        <r>
          <rPr>
            <sz val="9"/>
            <color indexed="81"/>
            <rFont val="Tahoma"/>
            <family val="2"/>
          </rPr>
          <t>Met 
• Clear = Use full sentence and information is straight to the point.
+
• Concise = Relevant to customer's query.
+
• Match understanding = Choose the Reponses that customer can understand.
(Copy and paste the same response that customers do not understand is 'NOT met')</t>
        </r>
        <r>
          <rPr>
            <b/>
            <sz val="9"/>
            <color indexed="81"/>
            <rFont val="Tahoma"/>
            <family val="2"/>
          </rPr>
          <t xml:space="preserve">
Follow Up Actions
</t>
        </r>
        <r>
          <rPr>
            <sz val="9"/>
            <color indexed="81"/>
            <rFont val="Tahoma"/>
            <family val="2"/>
          </rPr>
          <t xml:space="preserve">• Potential Root Cause of Coaching 
A: Attitude to Service - Advisor does not know it is their responsibility to communicate clearly and concisely so that customer can understand.
S: Systems Use - Advisor does not know which official resource they can refer to for guidance.
K: Knowledge - Depends on situation.
Refer to Sup if 
• Route cause falls outside ASK. 
• Further occurrence after 2 PDPs are completed at the same Develop Need Area. </t>
        </r>
      </text>
    </comment>
    <comment ref="B12" authorId="0" shapeId="0">
      <text>
        <r>
          <rPr>
            <b/>
            <sz val="9"/>
            <color indexed="81"/>
            <rFont val="Tahoma"/>
            <family val="2"/>
          </rPr>
          <t xml:space="preserve">Job Description
</t>
        </r>
        <r>
          <rPr>
            <sz val="9"/>
            <color indexed="81"/>
            <rFont val="Tahoma"/>
            <family val="2"/>
          </rPr>
          <t>1.16 Follows best practice guidelines when communicating with customers</t>
        </r>
        <r>
          <rPr>
            <b/>
            <sz val="9"/>
            <color indexed="81"/>
            <rFont val="Tahoma"/>
            <family val="2"/>
          </rPr>
          <t xml:space="preserve">
Measurable Outputs
-
Follow Up Actions
</t>
        </r>
        <r>
          <rPr>
            <sz val="9"/>
            <color indexed="81"/>
            <rFont val="Tahoma"/>
            <family val="2"/>
          </rPr>
          <t>• Reminder</t>
        </r>
      </text>
    </comment>
    <comment ref="D12" authorId="0" shapeId="0">
      <text>
        <r>
          <rPr>
            <b/>
            <sz val="9"/>
            <color indexed="81"/>
            <rFont val="Tahoma"/>
            <family val="2"/>
          </rPr>
          <t xml:space="preserve">Job Description
</t>
        </r>
        <r>
          <rPr>
            <sz val="9"/>
            <color indexed="81"/>
            <rFont val="Tahoma"/>
            <family val="2"/>
          </rPr>
          <t xml:space="preserve">
1.2 Personalises each contact and communicates in a way that matches the customer's level of understanding </t>
        </r>
        <r>
          <rPr>
            <b/>
            <sz val="9"/>
            <color indexed="81"/>
            <rFont val="Tahoma"/>
            <family val="2"/>
          </rPr>
          <t xml:space="preserve">
Measurable Outputs
</t>
        </r>
        <r>
          <rPr>
            <sz val="9"/>
            <color indexed="81"/>
            <rFont val="Tahoma"/>
            <family val="2"/>
          </rPr>
          <t>Met 
• Clear = Use full sentence and information is straight to the point.
+
• Concise = Relevant to customer's query.
+
• Match understanding = Choose the Reponses that customer can understand.
(Copy and paste the same response that customers do not understand is 'NOT met')</t>
        </r>
        <r>
          <rPr>
            <b/>
            <sz val="9"/>
            <color indexed="81"/>
            <rFont val="Tahoma"/>
            <family val="2"/>
          </rPr>
          <t xml:space="preserve">
Follow Up Actions
</t>
        </r>
        <r>
          <rPr>
            <sz val="9"/>
            <color indexed="81"/>
            <rFont val="Tahoma"/>
            <family val="2"/>
          </rPr>
          <t xml:space="preserve">• Potential Root Cause of Coaching 
A: Attitude to Service - Advisor does not know it is their responsibility to communicate clearly and concisely so that customer can understand.
S: Systems Use - Advisor does not know which official resource they can refer to for guidance.
K: Knowledge - Depends on situation.
Refer to Sup if 
• Route cause falls outside ASK. 
• Further occurrence after 2 PDPs are completed at the same Develop Need Area. </t>
        </r>
      </text>
    </comment>
    <comment ref="F12" authorId="0" shapeId="0">
      <text>
        <r>
          <rPr>
            <b/>
            <sz val="9"/>
            <color indexed="81"/>
            <rFont val="Tahoma"/>
            <family val="2"/>
          </rPr>
          <t xml:space="preserve">Job Description
</t>
        </r>
        <r>
          <rPr>
            <sz val="9"/>
            <color indexed="81"/>
            <rFont val="Tahoma"/>
            <family val="2"/>
          </rPr>
          <t xml:space="preserve">
1.7 Gives a realistic time frame for resolution of the issue and offers to have the customer contacted when appropriate
1.12 Guides the customer to the Website, Mobile Site or Apps where appropriate
1.13 Seeks to inform the customer when resolving their query
3.4 Explains Bet Credits and offers in a way that the customer understands 
3.10 Explains how markets work within a wide range of sports</t>
        </r>
        <r>
          <rPr>
            <b/>
            <sz val="9"/>
            <color indexed="81"/>
            <rFont val="Tahoma"/>
            <family val="2"/>
          </rPr>
          <t xml:space="preserve">
Measurable Outputs
</t>
        </r>
        <r>
          <rPr>
            <sz val="9"/>
            <color indexed="81"/>
            <rFont val="Tahoma"/>
            <family val="2"/>
          </rPr>
          <t>Met (Followings must be seen in the contact before offering further assistant, except that information is internal only)
When Provide Resolution
• Explain the genuine cause of the issue 
+
• Explain company terms or department process correctly to customer.
+
• Explain how resolution will resolve the issue or benefit customer. If needs escalation, explain why need escalate. 
+
• Provide relevant information (Specific location) that customer can access online for future reference (If customer is able to access the information themselves online)
When Provide Guidance
• Explain how it should work according company term and process
+
• Provide relevant information (Specific location) that customer can access online for future reference (If customer is able to access the information themselves online)</t>
        </r>
        <r>
          <rPr>
            <b/>
            <sz val="9"/>
            <color indexed="81"/>
            <rFont val="Tahoma"/>
            <family val="2"/>
          </rPr>
          <t xml:space="preserve">
Follow Up Actions
</t>
        </r>
        <r>
          <rPr>
            <sz val="9"/>
            <color indexed="81"/>
            <rFont val="Tahoma"/>
            <family val="2"/>
          </rPr>
          <t xml:space="preserve">• Potential Root Cause of Coaching 
A: Attitude to Service - Advisor does not know it is their responsibility to provide full guidance to customer, or whether they can provide the information at their own remit.
S: Systems Use - Advisor does not know which official resource they can refer to for guidance.
K: Knowledge - Advisor does not know what information to provide.
Refer to Sup if 
• Route cause falls outside ASK. 
• Further occurrence after 2 PDPs are completed at the same Develop Need Area. </t>
        </r>
      </text>
    </comment>
    <comment ref="B13" authorId="0" shapeId="0">
      <text>
        <r>
          <rPr>
            <b/>
            <sz val="9"/>
            <color indexed="81"/>
            <rFont val="Tahoma"/>
            <family val="2"/>
          </rPr>
          <t xml:space="preserve">Job Description
</t>
        </r>
        <r>
          <rPr>
            <sz val="9"/>
            <color indexed="81"/>
            <rFont val="Tahoma"/>
            <family val="2"/>
          </rPr>
          <t xml:space="preserve">
1.2 Personalises each contact and communicates in a way that matches the customer's level of understanding </t>
        </r>
        <r>
          <rPr>
            <b/>
            <sz val="9"/>
            <color indexed="81"/>
            <rFont val="Tahoma"/>
            <family val="2"/>
          </rPr>
          <t xml:space="preserve">
Measurable Outputs
</t>
        </r>
        <r>
          <rPr>
            <sz val="9"/>
            <color indexed="81"/>
            <rFont val="Tahoma"/>
            <family val="2"/>
          </rPr>
          <t>Met 
• Clear = Use full sentence and information is straight to the point.
+
• Concise = Relevant to customer's query.
+
• Match understanding = Choose the Reponses that customer can understand.
(Copy and paste the same response that customers do not understand is 'NOT met')</t>
        </r>
        <r>
          <rPr>
            <b/>
            <sz val="9"/>
            <color indexed="81"/>
            <rFont val="Tahoma"/>
            <family val="2"/>
          </rPr>
          <t xml:space="preserve">
Follow Up Actions
</t>
        </r>
        <r>
          <rPr>
            <sz val="9"/>
            <color indexed="81"/>
            <rFont val="Tahoma"/>
            <family val="2"/>
          </rPr>
          <t xml:space="preserve">• Potential Root Cause of Coaching 
A: Attitude to Service - Advisor does not know it is their responsibility to communicate clearly and concisely so that customer can understand.
S: Systems Use - Advisor does not know which official resource they can refer to for guidance.
K: Knowledge - Depends on situation.
Refer to Sup if 
• Route cause falls outside ASK. 
• Further occurrence after 2 PDPs are completed at the same Develop Need Area. </t>
        </r>
      </text>
    </comment>
    <comment ref="D13" authorId="0" shapeId="0">
      <text>
        <r>
          <rPr>
            <b/>
            <sz val="9"/>
            <color indexed="81"/>
            <rFont val="Tahoma"/>
            <family val="2"/>
          </rPr>
          <t xml:space="preserve">Job Description
</t>
        </r>
        <r>
          <rPr>
            <sz val="9"/>
            <color indexed="81"/>
            <rFont val="Tahoma"/>
            <family val="2"/>
          </rPr>
          <t xml:space="preserve">
1.7 Gives a realistic time frame for resolution of the issue and offers to have the customer contacted when appropriate
1.12 Guides the customer to the Website, Mobile Site or Apps where appropriate
1.13 Seeks to inform the customer when resolving their query
3.4 Explains Bet Credits and offers in a way that the customer understands 
3.10 Explains how markets work within a wide range of sports</t>
        </r>
        <r>
          <rPr>
            <b/>
            <sz val="9"/>
            <color indexed="81"/>
            <rFont val="Tahoma"/>
            <family val="2"/>
          </rPr>
          <t xml:space="preserve">
Measurable Outputs
</t>
        </r>
        <r>
          <rPr>
            <sz val="9"/>
            <color indexed="81"/>
            <rFont val="Tahoma"/>
            <family val="2"/>
          </rPr>
          <t>Met (Followings must be seen in the contact before offering further assistant, except that information is internal only)
When Provide Resolution
• Explain the genuine cause of the issue 
+
• Explain company terms or department process correctly to customer.
+
• Explain how resolution will resolve the issue or benefit customer. If needs escalation, explain why need escalate. 
+
• Provide relevant information (Specific location) that customer can access online for future reference (If customer is able to access the information themselves online)
When Provide Guidance
• Explain how it should work according company term and process
+
• Provide relevant information (Specific location) that customer can access online for future reference (If customer is able to access the information themselves online)</t>
        </r>
        <r>
          <rPr>
            <b/>
            <sz val="9"/>
            <color indexed="81"/>
            <rFont val="Tahoma"/>
            <family val="2"/>
          </rPr>
          <t xml:space="preserve">
Follow Up Actions
</t>
        </r>
        <r>
          <rPr>
            <sz val="9"/>
            <color indexed="81"/>
            <rFont val="Tahoma"/>
            <family val="2"/>
          </rPr>
          <t xml:space="preserve">• Potential Root Cause of Coaching 
A: Attitude to Service - Advisor does not know it is their responsibility to provide full guidance to customer, or whether they can provide the information at their own remit.
S: Systems Use - Advisor does not know which official resource they can refer to for guidance.
K: Knowledge - Advisor does not know what information to provide.
Refer to Sup if 
• Route cause falls outside ASK. 
• Further occurrence after 2 PDPs are completed at the same Develop Need Area. </t>
        </r>
      </text>
    </comment>
    <comment ref="F13" authorId="0" shapeId="0">
      <text>
        <r>
          <rPr>
            <b/>
            <sz val="9"/>
            <color indexed="81"/>
            <rFont val="Tahoma"/>
            <family val="2"/>
          </rPr>
          <t xml:space="preserve">Job Description
</t>
        </r>
        <r>
          <rPr>
            <sz val="9"/>
            <color indexed="81"/>
            <rFont val="Tahoma"/>
            <family val="2"/>
          </rPr>
          <t>1.9 Remains assertive and polite when in dispute with the customer</t>
        </r>
        <r>
          <rPr>
            <b/>
            <sz val="9"/>
            <color indexed="81"/>
            <rFont val="Tahoma"/>
            <family val="2"/>
          </rPr>
          <t xml:space="preserve">
Measurable Outputs
</t>
        </r>
        <r>
          <rPr>
            <sz val="9"/>
            <color indexed="81"/>
            <rFont val="Tahoma"/>
            <family val="2"/>
          </rPr>
          <t>Met 
• Use 'I' instead of 'We', unless for any action not being taken by advisor. 
+
• Where issue can not be resolved in the first contact, inform customer we will follow up until issue is resolved.
+ 
• When dealing with complaint, focus on what you CAN do to resolve customer's issue. 
(Reject customer's request without authorization from TL will be deemed as 'not met')</t>
        </r>
        <r>
          <rPr>
            <b/>
            <sz val="9"/>
            <color indexed="81"/>
            <rFont val="Tahoma"/>
            <family val="2"/>
          </rPr>
          <t xml:space="preserve">
Follow Up Actions
</t>
        </r>
        <r>
          <rPr>
            <sz val="9"/>
            <color indexed="81"/>
            <rFont val="Tahoma"/>
            <family val="2"/>
          </rPr>
          <t>• Potential Root Cause of Coaching 
A: Attitude to Service - Advisor does not know it is their responsibility to demonstrate positivity when communicating with customer.
S: Systems Use - Advisor does not know which official resource they can refer to for guidance.
K: Knowledge - Advisor does not how to demonstrate positivity
Refer to Sup if 
• Route cause falls outside ASK. 
• Further occurrence after 2 PDPs are completed at the same Develop Need Area.</t>
        </r>
        <r>
          <rPr>
            <b/>
            <sz val="9"/>
            <color indexed="81"/>
            <rFont val="Tahoma"/>
            <family val="2"/>
          </rPr>
          <t xml:space="preserve"> </t>
        </r>
      </text>
    </comment>
    <comment ref="B14" authorId="0" shapeId="0">
      <text>
        <r>
          <rPr>
            <b/>
            <sz val="9"/>
            <color indexed="81"/>
            <rFont val="Tahoma"/>
            <family val="2"/>
          </rPr>
          <t xml:space="preserve">Job Description
</t>
        </r>
        <r>
          <rPr>
            <sz val="9"/>
            <color indexed="81"/>
            <rFont val="Tahoma"/>
            <family val="2"/>
          </rPr>
          <t xml:space="preserve">
1.7 Gives a realistic time frame for resolution of the issue and offers to have the customer contacted when appropriate
1.12 Guides the customer to the Website, Mobile Site or Apps where appropriate
1.13 Seeks to inform the customer when resolving their query
3.4 Explains Bet Credits and offers in a way that the customer understands 
3.10 Explains how markets work within a wide range of sports</t>
        </r>
        <r>
          <rPr>
            <b/>
            <sz val="9"/>
            <color indexed="81"/>
            <rFont val="Tahoma"/>
            <family val="2"/>
          </rPr>
          <t xml:space="preserve">
Measurable Outputs
</t>
        </r>
        <r>
          <rPr>
            <sz val="9"/>
            <color indexed="81"/>
            <rFont val="Tahoma"/>
            <family val="2"/>
          </rPr>
          <t>Met (Followings must be seen in the contact before offering further assistant, except that information is internal only)
When Provide Resolution
• Explain the genuine cause of the issue 
+
• Explain company terms or department process correctly to customer.
+
• Explain how resolution will resolve the issue or benefit customer. If needs escalation, explain why need escalate. 
+
• Provide relevant information (Specific location) that customer can access online for future reference (If customer is able to access the information themselves online)
When Provide Guidance
• Explain how it should work according company term and process
+
• Provide relevant information (Specific location) that customer can access online for future reference (If customer is able to access the information themselves online)</t>
        </r>
        <r>
          <rPr>
            <b/>
            <sz val="9"/>
            <color indexed="81"/>
            <rFont val="Tahoma"/>
            <family val="2"/>
          </rPr>
          <t xml:space="preserve">
Follow Up Actions
</t>
        </r>
        <r>
          <rPr>
            <sz val="9"/>
            <color indexed="81"/>
            <rFont val="Tahoma"/>
            <family val="2"/>
          </rPr>
          <t xml:space="preserve">• Potential Root Cause of Coaching 
A: Attitude to Service - Advisor does not know it is their responsibility to provide full guidance to customer, or whether they can provide the information at their own remit.
S: Systems Use - Advisor does not know which official resource they can refer to for guidance.
K: Knowledge - Advisor does not know what information to provide.
Refer to Sup if 
• Route cause falls outside ASK. 
• Further occurrence after 2 PDPs are completed at the same Develop Need Area. </t>
        </r>
      </text>
    </comment>
    <comment ref="D14" authorId="0" shapeId="0">
      <text>
        <r>
          <rPr>
            <b/>
            <sz val="9"/>
            <color indexed="81"/>
            <rFont val="Tahoma"/>
            <family val="2"/>
          </rPr>
          <t xml:space="preserve">Job Description
</t>
        </r>
        <r>
          <rPr>
            <sz val="9"/>
            <color indexed="81"/>
            <rFont val="Tahoma"/>
            <family val="2"/>
          </rPr>
          <t>1.9 Remains assertive and polite when in dispute with the customer</t>
        </r>
        <r>
          <rPr>
            <b/>
            <sz val="9"/>
            <color indexed="81"/>
            <rFont val="Tahoma"/>
            <family val="2"/>
          </rPr>
          <t xml:space="preserve">
Measurable Outputs
</t>
        </r>
        <r>
          <rPr>
            <sz val="9"/>
            <color indexed="81"/>
            <rFont val="Tahoma"/>
            <family val="2"/>
          </rPr>
          <t>Met 
• Use 'I' instead of 'We', unless for any action not being taken by advisor. 
+
• Where issue can not be resolved in the first contact, inform customer we will follow up until issue is resolved.
+ 
• When dealing with complaint, focus on what you CAN do to resolve customer's issue. 
(Reject customer's request without authorization from TL will be deemed as 'not met')</t>
        </r>
        <r>
          <rPr>
            <b/>
            <sz val="9"/>
            <color indexed="81"/>
            <rFont val="Tahoma"/>
            <family val="2"/>
          </rPr>
          <t xml:space="preserve">
Follow Up Actions
</t>
        </r>
        <r>
          <rPr>
            <sz val="9"/>
            <color indexed="81"/>
            <rFont val="Tahoma"/>
            <family val="2"/>
          </rPr>
          <t>• Potential Root Cause of Coaching 
A: Attitude to Service - Advisor does not know it is their responsibility to demonstrate positivity when communicating with customer.
S: Systems Use - Advisor does not know which official resource they can refer to for guidance.
K: Knowledge - Advisor does not how to demonstrate positivity
Refer to Sup if 
• Route cause falls outside ASK. 
• Further occurrence after 2 PDPs are completed at the same Develop Need Area.</t>
        </r>
        <r>
          <rPr>
            <b/>
            <sz val="9"/>
            <color indexed="81"/>
            <rFont val="Tahoma"/>
            <family val="2"/>
          </rPr>
          <t xml:space="preserve"> </t>
        </r>
      </text>
    </comment>
    <comment ref="F14" authorId="0" shapeId="0">
      <text>
        <r>
          <rPr>
            <b/>
            <sz val="9"/>
            <color indexed="81"/>
            <rFont val="Tahoma"/>
            <family val="2"/>
          </rPr>
          <t xml:space="preserve">Job Description
</t>
        </r>
        <r>
          <rPr>
            <sz val="9"/>
            <color indexed="81"/>
            <rFont val="Tahoma"/>
            <family val="2"/>
          </rPr>
          <t xml:space="preserve">
1.5 Shows genuine interest in the customer's issue and demonstrates empathy where appropriate</t>
        </r>
        <r>
          <rPr>
            <b/>
            <sz val="9"/>
            <color indexed="81"/>
            <rFont val="Tahoma"/>
            <family val="2"/>
          </rPr>
          <t xml:space="preserve">
Measurable Outputs
</t>
        </r>
        <r>
          <rPr>
            <sz val="9"/>
            <color indexed="81"/>
            <rFont val="Tahoma"/>
            <family val="2"/>
          </rPr>
          <t>Met (When customer contact a issue, following must be seen in the contact before offering further assistant)
• Demonstrates to customer that they understand customer's feeling of or recognise the inconvenience has caused by specific issue. 
+ 
• Demonstrates to customer that advisor value the customer and willing to resolve the issue.</t>
        </r>
        <r>
          <rPr>
            <b/>
            <sz val="9"/>
            <color indexed="81"/>
            <rFont val="Tahoma"/>
            <family val="2"/>
          </rPr>
          <t xml:space="preserve">
Follow Up Actions
</t>
        </r>
        <r>
          <rPr>
            <sz val="9"/>
            <color indexed="81"/>
            <rFont val="Tahoma"/>
            <family val="2"/>
          </rPr>
          <t xml:space="preserve">• Potential Root Cause of Coaching 
A: Attitude to Service - Advisor does not know it is their responsibility to genuine empathy when resolving customer's issue.
S: Systems Use - Advisor does not know which official resource they can refer to for guidance.
K: Knowledge - Advisor does not how to demonstrate genuine empathy.
Refer to Sup if 
• Route cause falls outside ASK. 
• Further occurrence after 2 PDPs are completed at the same Develop Need Area. </t>
        </r>
      </text>
    </comment>
    <comment ref="B15" authorId="0" shapeId="0">
      <text>
        <r>
          <rPr>
            <b/>
            <sz val="9"/>
            <color indexed="81"/>
            <rFont val="Tahoma"/>
            <family val="2"/>
          </rPr>
          <t xml:space="preserve">Job Description
</t>
        </r>
        <r>
          <rPr>
            <sz val="9"/>
            <color indexed="81"/>
            <rFont val="Tahoma"/>
            <family val="2"/>
          </rPr>
          <t>1.9 Remains assertive and polite when in dispute with the customer</t>
        </r>
        <r>
          <rPr>
            <b/>
            <sz val="9"/>
            <color indexed="81"/>
            <rFont val="Tahoma"/>
            <family val="2"/>
          </rPr>
          <t xml:space="preserve">
Measurable Outputs
</t>
        </r>
        <r>
          <rPr>
            <sz val="9"/>
            <color indexed="81"/>
            <rFont val="Tahoma"/>
            <family val="2"/>
          </rPr>
          <t>Met 
• Use 'I' instead of 'We', unless for any action not being taken by advisor. 
+
• Where issue can not be resolved in the first contact, inform customer we will follow up until issue is resolved.
+ 
• When dealing with complaint, focus on what you CAN do to resolve customer's issue. 
(Reject customer's request without authorization from TL will be deemed as 'not met')</t>
        </r>
        <r>
          <rPr>
            <b/>
            <sz val="9"/>
            <color indexed="81"/>
            <rFont val="Tahoma"/>
            <family val="2"/>
          </rPr>
          <t xml:space="preserve">
Follow Up Actions
</t>
        </r>
        <r>
          <rPr>
            <sz val="9"/>
            <color indexed="81"/>
            <rFont val="Tahoma"/>
            <family val="2"/>
          </rPr>
          <t>• Potential Root Cause of Coaching 
A: Attitude to Service - Advisor does not know it is their responsibility to demonstrate positivity when communicating with customer.
S: Systems Use - Advisor does not know which official resource they can refer to for guidance.
K: Knowledge - Advisor does not how to demonstrate positivity
Refer to Sup if 
• Route cause falls outside ASK. 
• Further occurrence after 2 PDPs are completed at the same Develop Need Area.</t>
        </r>
        <r>
          <rPr>
            <b/>
            <sz val="9"/>
            <color indexed="81"/>
            <rFont val="Tahoma"/>
            <family val="2"/>
          </rPr>
          <t xml:space="preserve"> </t>
        </r>
      </text>
    </comment>
    <comment ref="D15" authorId="0" shapeId="0">
      <text>
        <r>
          <rPr>
            <b/>
            <sz val="9"/>
            <color indexed="81"/>
            <rFont val="Tahoma"/>
            <family val="2"/>
          </rPr>
          <t xml:space="preserve">Job Description
</t>
        </r>
        <r>
          <rPr>
            <sz val="9"/>
            <color indexed="81"/>
            <rFont val="Tahoma"/>
            <family val="2"/>
          </rPr>
          <t xml:space="preserve">
1.5 Shows genuine interest in the customer's issue and demonstrates empathy where appropriate</t>
        </r>
        <r>
          <rPr>
            <b/>
            <sz val="9"/>
            <color indexed="81"/>
            <rFont val="Tahoma"/>
            <family val="2"/>
          </rPr>
          <t xml:space="preserve">
Measurable Outputs
</t>
        </r>
        <r>
          <rPr>
            <sz val="9"/>
            <color indexed="81"/>
            <rFont val="Tahoma"/>
            <family val="2"/>
          </rPr>
          <t>Met (When customer contact a issue, following must be seen in the contact before offering further assistant)
• Demonstrates to customer that they understand customer's feeling of or recognise the inconvenience has caused by specific issue. 
+ 
• Demonstrates to customer that advisor value the customer and willing to resolve the issue.</t>
        </r>
        <r>
          <rPr>
            <b/>
            <sz val="9"/>
            <color indexed="81"/>
            <rFont val="Tahoma"/>
            <family val="2"/>
          </rPr>
          <t xml:space="preserve">
Follow Up Actions
</t>
        </r>
        <r>
          <rPr>
            <sz val="9"/>
            <color indexed="81"/>
            <rFont val="Tahoma"/>
            <family val="2"/>
          </rPr>
          <t xml:space="preserve">• Potential Root Cause of Coaching 
A: Attitude to Service - Advisor does not know it is their responsibility to genuine empathy when resolving customer's issue.
S: Systems Use - Advisor does not know which official resource they can refer to for guidance.
K: Knowledge - Advisor does not how to demonstrate genuine empathy.
Refer to Sup if 
• Route cause falls outside ASK. 
• Further occurrence after 2 PDPs are completed at the same Develop Need Area. </t>
        </r>
      </text>
    </comment>
    <comment ref="F15" authorId="0" shapeId="0">
      <text>
        <r>
          <rPr>
            <b/>
            <sz val="9"/>
            <color indexed="81"/>
            <rFont val="Tahoma"/>
            <family val="2"/>
          </rPr>
          <t xml:space="preserve">Job Description
</t>
        </r>
        <r>
          <rPr>
            <sz val="9"/>
            <color indexed="81"/>
            <rFont val="Tahoma"/>
            <family val="2"/>
          </rPr>
          <t>1.5 Shows genuine interest in the customer's issue and demonstrates empathy where appropriate</t>
        </r>
        <r>
          <rPr>
            <b/>
            <sz val="9"/>
            <color indexed="81"/>
            <rFont val="Tahoma"/>
            <family val="2"/>
          </rPr>
          <t xml:space="preserve">
Measurable Outputs
</t>
        </r>
        <r>
          <rPr>
            <sz val="9"/>
            <color indexed="81"/>
            <rFont val="Tahoma"/>
            <family val="2"/>
          </rPr>
          <t xml:space="preserve">Met 
• Address customer's name at the when starting to discuss account specific query + offering further assistance for live contact.
• Address customer's name at opening when met security requirement for Email and WMS
+ 
• Customer's specific query or complaint are included in the response. </t>
        </r>
        <r>
          <rPr>
            <b/>
            <sz val="9"/>
            <color indexed="81"/>
            <rFont val="Tahoma"/>
            <family val="2"/>
          </rPr>
          <t xml:space="preserve">
Follow Up Actions
</t>
        </r>
        <r>
          <rPr>
            <sz val="9"/>
            <color indexed="81"/>
            <rFont val="Tahoma"/>
            <family val="2"/>
          </rPr>
          <t xml:space="preserve">• Potential Root Cause of Coaching 
A: Attitude to Service - Advisor does not know it is their responsibility to genuine empathy when resolving customer's issue.
S: Systems Use - Advisor does not know which official resource they can refer to for guidance.
K: Knowledge - Advisor does not how to demonstrate genuine empathy.
Refer to Sup if 
• Route cause falls outside ASK. 
• Further occurrence after 2 PDPs are completed at the same Develop Need Area. </t>
        </r>
      </text>
    </comment>
    <comment ref="B16" authorId="0" shapeId="0">
      <text>
        <r>
          <rPr>
            <b/>
            <sz val="9"/>
            <color indexed="81"/>
            <rFont val="Tahoma"/>
            <family val="2"/>
          </rPr>
          <t xml:space="preserve">Job Description
</t>
        </r>
        <r>
          <rPr>
            <sz val="9"/>
            <color indexed="81"/>
            <rFont val="Tahoma"/>
            <family val="2"/>
          </rPr>
          <t xml:space="preserve">
1.5 Shows genuine interest in the customer's issue and demonstrates empathy where appropriate</t>
        </r>
        <r>
          <rPr>
            <b/>
            <sz val="9"/>
            <color indexed="81"/>
            <rFont val="Tahoma"/>
            <family val="2"/>
          </rPr>
          <t xml:space="preserve">
Measurable Outputs
</t>
        </r>
        <r>
          <rPr>
            <sz val="9"/>
            <color indexed="81"/>
            <rFont val="Tahoma"/>
            <family val="2"/>
          </rPr>
          <t>Met (When customer contact a issue, following must be seen in the contact before offering further assistant)
• Demonstrates to customer that they understand customer's feeling of or recognise the inconvenience has caused by specific issue. 
+ 
• Demonstrates to customer that advisor value the customer and willing to resolve the issue.</t>
        </r>
        <r>
          <rPr>
            <b/>
            <sz val="9"/>
            <color indexed="81"/>
            <rFont val="Tahoma"/>
            <family val="2"/>
          </rPr>
          <t xml:space="preserve">
Follow Up Actions
</t>
        </r>
        <r>
          <rPr>
            <sz val="9"/>
            <color indexed="81"/>
            <rFont val="Tahoma"/>
            <family val="2"/>
          </rPr>
          <t xml:space="preserve">• Potential Root Cause of Coaching 
A: Attitude to Service - Advisor does not know it is their responsibility to genuine empathy when resolving customer's issue.
S: Systems Use - Advisor does not know which official resource they can refer to for guidance.
K: Knowledge - Advisor does not how to demonstrate genuine empathy.
Refer to Sup if 
• Route cause falls outside ASK. 
• Further occurrence after 2 PDPs are completed at the same Develop Need Area. </t>
        </r>
      </text>
    </comment>
    <comment ref="D16" authorId="0" shapeId="0">
      <text>
        <r>
          <rPr>
            <b/>
            <sz val="9"/>
            <color indexed="81"/>
            <rFont val="Tahoma"/>
            <family val="2"/>
          </rPr>
          <t xml:space="preserve">Job Description
</t>
        </r>
        <r>
          <rPr>
            <sz val="9"/>
            <color indexed="81"/>
            <rFont val="Tahoma"/>
            <family val="2"/>
          </rPr>
          <t>1.5 Shows genuine interest in the customer's issue and demonstrates empathy where appropriate</t>
        </r>
        <r>
          <rPr>
            <b/>
            <sz val="9"/>
            <color indexed="81"/>
            <rFont val="Tahoma"/>
            <family val="2"/>
          </rPr>
          <t xml:space="preserve">
Measurable Outputs
</t>
        </r>
        <r>
          <rPr>
            <sz val="9"/>
            <color indexed="81"/>
            <rFont val="Tahoma"/>
            <family val="2"/>
          </rPr>
          <t xml:space="preserve">Met 
• Address customer's name at the when starting to discuss account specific query + offering further assistance for live contact.
• Address customer's name at opening when met security requirement for Email and WMS
+ 
• Customer's specific query or complaint are included in the response. </t>
        </r>
        <r>
          <rPr>
            <b/>
            <sz val="9"/>
            <color indexed="81"/>
            <rFont val="Tahoma"/>
            <family val="2"/>
          </rPr>
          <t xml:space="preserve">
Follow Up Actions
</t>
        </r>
        <r>
          <rPr>
            <sz val="9"/>
            <color indexed="81"/>
            <rFont val="Tahoma"/>
            <family val="2"/>
          </rPr>
          <t xml:space="preserve">• Potential Root Cause of Coaching 
A: Attitude to Service - Advisor does not know it is their responsibility to genuine empathy when resolving customer's issue.
S: Systems Use - Advisor does not know which official resource they can refer to for guidance.
K: Knowledge - Advisor does not how to demonstrate genuine empathy.
Refer to Sup if 
• Route cause falls outside ASK. 
• Further occurrence after 2 PDPs are completed at the same Develop Need Area. </t>
        </r>
      </text>
    </comment>
    <comment ref="F16" authorId="0" shapeId="0">
      <text>
        <r>
          <rPr>
            <b/>
            <sz val="9"/>
            <color indexed="81"/>
            <rFont val="Tahoma"/>
            <family val="2"/>
          </rPr>
          <t xml:space="preserve">Job Description
</t>
        </r>
        <r>
          <rPr>
            <sz val="9"/>
            <color indexed="81"/>
            <rFont val="Tahoma"/>
            <family val="2"/>
          </rPr>
          <t>1.16 Follows best practice guidelines when communicating with customers</t>
        </r>
        <r>
          <rPr>
            <b/>
            <sz val="9"/>
            <color indexed="81"/>
            <rFont val="Tahoma"/>
            <family val="2"/>
          </rPr>
          <t xml:space="preserve">
Measurable Outputs
</t>
        </r>
        <r>
          <rPr>
            <sz val="9"/>
            <color indexed="81"/>
            <rFont val="Tahoma"/>
            <family val="2"/>
          </rPr>
          <t>Correct closing is used (Asian KB 698)</t>
        </r>
        <r>
          <rPr>
            <b/>
            <sz val="9"/>
            <color indexed="81"/>
            <rFont val="Tahoma"/>
            <family val="2"/>
          </rPr>
          <t xml:space="preserve">
Follow Up Actions
</t>
        </r>
        <r>
          <rPr>
            <sz val="9"/>
            <color indexed="81"/>
            <rFont val="Tahoma"/>
            <family val="2"/>
          </rPr>
          <t>• Reminder</t>
        </r>
      </text>
    </comment>
    <comment ref="B17" authorId="0" shapeId="0">
      <text>
        <r>
          <rPr>
            <b/>
            <sz val="9"/>
            <color indexed="81"/>
            <rFont val="Tahoma"/>
            <family val="2"/>
          </rPr>
          <t xml:space="preserve">Job Description
</t>
        </r>
        <r>
          <rPr>
            <sz val="9"/>
            <color indexed="81"/>
            <rFont val="Tahoma"/>
            <family val="2"/>
          </rPr>
          <t>1.5 Shows genuine interest in the customer's issue and demonstrates empathy where appropriate</t>
        </r>
        <r>
          <rPr>
            <b/>
            <sz val="9"/>
            <color indexed="81"/>
            <rFont val="Tahoma"/>
            <family val="2"/>
          </rPr>
          <t xml:space="preserve">
Measurable Outputs
</t>
        </r>
        <r>
          <rPr>
            <sz val="9"/>
            <color indexed="81"/>
            <rFont val="Tahoma"/>
            <family val="2"/>
          </rPr>
          <t xml:space="preserve">Met 
• Address customer's name at the when starting to discuss account specific query + offering further assistance for live contact.
• Address customer's name at opening when met security requirement for Email and WMS
+ 
• Customer's specific query or complaint are included in the response. </t>
        </r>
        <r>
          <rPr>
            <b/>
            <sz val="9"/>
            <color indexed="81"/>
            <rFont val="Tahoma"/>
            <family val="2"/>
          </rPr>
          <t xml:space="preserve">
Follow Up Actions
</t>
        </r>
        <r>
          <rPr>
            <sz val="9"/>
            <color indexed="81"/>
            <rFont val="Tahoma"/>
            <family val="2"/>
          </rPr>
          <t xml:space="preserve">• Potential Root Cause of Coaching 
A: Attitude to Service - Advisor does not know it is their responsibility to genuine empathy when resolving customer's issue.
S: Systems Use - Advisor does not know which official resource they can refer to for guidance.
K: Knowledge - Advisor does not how to demonstrate genuine empathy.
Refer to Sup if 
• Route cause falls outside ASK. 
• Further occurrence after 2 PDPs are completed at the same Develop Need Area. </t>
        </r>
      </text>
    </comment>
    <comment ref="D17" authorId="0" shapeId="0">
      <text>
        <r>
          <rPr>
            <b/>
            <sz val="9"/>
            <color indexed="81"/>
            <rFont val="Tahoma"/>
            <family val="2"/>
          </rPr>
          <t xml:space="preserve">Job Description
</t>
        </r>
        <r>
          <rPr>
            <sz val="9"/>
            <color indexed="81"/>
            <rFont val="Tahoma"/>
            <family val="2"/>
          </rPr>
          <t>1.16 Follows best practice guidelines when communicating with customers</t>
        </r>
        <r>
          <rPr>
            <b/>
            <sz val="9"/>
            <color indexed="81"/>
            <rFont val="Tahoma"/>
            <family val="2"/>
          </rPr>
          <t xml:space="preserve">
Measurable Outputs
</t>
        </r>
        <r>
          <rPr>
            <sz val="9"/>
            <color indexed="81"/>
            <rFont val="Tahoma"/>
            <family val="2"/>
          </rPr>
          <t>Correct closing is used (Asian KB 698)</t>
        </r>
        <r>
          <rPr>
            <b/>
            <sz val="9"/>
            <color indexed="81"/>
            <rFont val="Tahoma"/>
            <family val="2"/>
          </rPr>
          <t xml:space="preserve">
Follow Up Actions
</t>
        </r>
        <r>
          <rPr>
            <sz val="9"/>
            <color indexed="81"/>
            <rFont val="Tahoma"/>
            <family val="2"/>
          </rPr>
          <t>• Reminder</t>
        </r>
      </text>
    </comment>
    <comment ref="F17" authorId="0" shapeId="0">
      <text>
        <r>
          <rPr>
            <b/>
            <sz val="9"/>
            <color indexed="81"/>
            <rFont val="Tahoma"/>
            <family val="2"/>
          </rPr>
          <t xml:space="preserve">Job Description
-
Measurable Outputs
</t>
        </r>
        <r>
          <rPr>
            <sz val="9"/>
            <color indexed="81"/>
            <rFont val="Tahoma"/>
            <family val="2"/>
          </rPr>
          <t>Professional structure and format (KB: 1835)</t>
        </r>
        <r>
          <rPr>
            <b/>
            <sz val="9"/>
            <color indexed="81"/>
            <rFont val="Tahoma"/>
            <family val="2"/>
          </rPr>
          <t xml:space="preserve">
Follow Up Actions
</t>
        </r>
        <r>
          <rPr>
            <sz val="9"/>
            <color indexed="81"/>
            <rFont val="Tahoma"/>
            <family val="2"/>
          </rPr>
          <t xml:space="preserve">• Reminder - 1 Occurrence 
• Feedback - 2 Occurrence 
• Manager Action - 3 or More Occurrence </t>
        </r>
      </text>
    </comment>
    <comment ref="B18" authorId="0" shapeId="0">
      <text>
        <r>
          <rPr>
            <b/>
            <sz val="9"/>
            <color indexed="81"/>
            <rFont val="Tahoma"/>
            <family val="2"/>
          </rPr>
          <t xml:space="preserve">Job Description
</t>
        </r>
        <r>
          <rPr>
            <sz val="9"/>
            <color indexed="81"/>
            <rFont val="Tahoma"/>
            <family val="2"/>
          </rPr>
          <t>1.16 Follows best practice guidelines when communicating with customers</t>
        </r>
        <r>
          <rPr>
            <b/>
            <sz val="9"/>
            <color indexed="81"/>
            <rFont val="Tahoma"/>
            <family val="2"/>
          </rPr>
          <t xml:space="preserve">
Measurable Outputs
</t>
        </r>
        <r>
          <rPr>
            <sz val="9"/>
            <color indexed="81"/>
            <rFont val="Tahoma"/>
            <family val="2"/>
          </rPr>
          <t>Correct closing is used (Asian KB 698)</t>
        </r>
        <r>
          <rPr>
            <b/>
            <sz val="9"/>
            <color indexed="81"/>
            <rFont val="Tahoma"/>
            <family val="2"/>
          </rPr>
          <t xml:space="preserve">
Follow Up Actions
</t>
        </r>
        <r>
          <rPr>
            <sz val="9"/>
            <color indexed="81"/>
            <rFont val="Tahoma"/>
            <family val="2"/>
          </rPr>
          <t>• Reminder</t>
        </r>
      </text>
    </comment>
    <comment ref="D18" authorId="0" shapeId="0">
      <text>
        <r>
          <rPr>
            <b/>
            <sz val="9"/>
            <color indexed="81"/>
            <rFont val="Tahoma"/>
            <family val="2"/>
          </rPr>
          <t xml:space="preserve">Job Description
-
Measurable Outputs
</t>
        </r>
        <r>
          <rPr>
            <sz val="9"/>
            <color indexed="81"/>
            <rFont val="Tahoma"/>
            <family val="2"/>
          </rPr>
          <t>Professional structure and format (KB: 1835)</t>
        </r>
        <r>
          <rPr>
            <b/>
            <sz val="9"/>
            <color indexed="81"/>
            <rFont val="Tahoma"/>
            <family val="2"/>
          </rPr>
          <t xml:space="preserve">
Follow Up Actions
</t>
        </r>
        <r>
          <rPr>
            <sz val="9"/>
            <color indexed="81"/>
            <rFont val="Tahoma"/>
            <family val="2"/>
          </rPr>
          <t xml:space="preserve">• Reminder - 1 Occurrence 
• Feedback - 2 Occurrence 
• Manager Action - 3 or More Occurrence </t>
        </r>
      </text>
    </comment>
    <comment ref="F18" authorId="0" shapeId="0">
      <text>
        <r>
          <rPr>
            <b/>
            <sz val="9"/>
            <color indexed="81"/>
            <rFont val="Tahoma"/>
            <family val="2"/>
          </rPr>
          <t xml:space="preserve">Job Description
-
Measurable Outputs
</t>
        </r>
        <r>
          <rPr>
            <sz val="9"/>
            <color indexed="81"/>
            <rFont val="Tahoma"/>
            <family val="2"/>
          </rPr>
          <t xml:space="preserve">Correct spelling, punctuation and grammar throughout </t>
        </r>
        <r>
          <rPr>
            <b/>
            <sz val="9"/>
            <color indexed="81"/>
            <rFont val="Tahoma"/>
            <family val="2"/>
          </rPr>
          <t xml:space="preserve">
Follow Up Actions
</t>
        </r>
        <r>
          <rPr>
            <sz val="9"/>
            <color indexed="81"/>
            <rFont val="Tahoma"/>
            <family val="2"/>
          </rPr>
          <t xml:space="preserve">• Reminder - 1 Occurrence 
• Feedback - 2 Occurrence 
• Manager Action - 3 or More Occurrence </t>
        </r>
      </text>
    </comment>
    <comment ref="B19" authorId="0" shapeId="0">
      <text>
        <r>
          <rPr>
            <b/>
            <sz val="9"/>
            <color indexed="81"/>
            <rFont val="Tahoma"/>
            <family val="2"/>
          </rPr>
          <t xml:space="preserve">Job Description
</t>
        </r>
        <r>
          <rPr>
            <sz val="9"/>
            <color indexed="81"/>
            <rFont val="Tahoma"/>
            <family val="2"/>
          </rPr>
          <t>-</t>
        </r>
        <r>
          <rPr>
            <b/>
            <sz val="9"/>
            <color indexed="81"/>
            <rFont val="Tahoma"/>
            <family val="2"/>
          </rPr>
          <t xml:space="preserve">
Measurable Outputs
</t>
        </r>
        <r>
          <rPr>
            <sz val="9"/>
            <color indexed="81"/>
            <rFont val="Tahoma"/>
            <family val="2"/>
          </rPr>
          <t>Hold procedure adhered  (KB: 1835)</t>
        </r>
        <r>
          <rPr>
            <b/>
            <sz val="9"/>
            <color indexed="81"/>
            <rFont val="Tahoma"/>
            <family val="2"/>
          </rPr>
          <t xml:space="preserve">
Follow Up Actions
</t>
        </r>
        <r>
          <rPr>
            <sz val="9"/>
            <color indexed="81"/>
            <rFont val="Tahoma"/>
            <family val="2"/>
          </rPr>
          <t xml:space="preserve">• Reminder - 1 Occurrence 
• Feedback - 2 Occurrence 
• Manager Action - 3 or More Occurrence </t>
        </r>
      </text>
    </comment>
    <comment ref="D19" authorId="0" shapeId="0">
      <text>
        <r>
          <rPr>
            <b/>
            <sz val="9"/>
            <color indexed="81"/>
            <rFont val="Tahoma"/>
            <family val="2"/>
          </rPr>
          <t xml:space="preserve">Job Description
-
Measurable Outputs
</t>
        </r>
        <r>
          <rPr>
            <sz val="9"/>
            <color indexed="81"/>
            <rFont val="Tahoma"/>
            <family val="2"/>
          </rPr>
          <t xml:space="preserve">Correct spelling, punctuation and grammar throughout </t>
        </r>
        <r>
          <rPr>
            <b/>
            <sz val="9"/>
            <color indexed="81"/>
            <rFont val="Tahoma"/>
            <family val="2"/>
          </rPr>
          <t xml:space="preserve">
Follow Up Actions
</t>
        </r>
        <r>
          <rPr>
            <sz val="9"/>
            <color indexed="81"/>
            <rFont val="Tahoma"/>
            <family val="2"/>
          </rPr>
          <t xml:space="preserve">• Reminder - 1 Occurrence 
• Feedback - 2 Occurrence 
• Manager Action - 3 or More Occurrence </t>
        </r>
      </text>
    </comment>
    <comment ref="F19" authorId="0" shapeId="0">
      <text>
        <r>
          <rPr>
            <b/>
            <sz val="9"/>
            <color indexed="81"/>
            <rFont val="Tahoma"/>
            <family val="2"/>
          </rPr>
          <t xml:space="preserve">Job Description
-
Measurable Outputs
</t>
        </r>
        <r>
          <rPr>
            <sz val="9"/>
            <color indexed="81"/>
            <rFont val="Tahoma"/>
            <family val="2"/>
          </rPr>
          <t>Correct account audit (KB: 643)</t>
        </r>
        <r>
          <rPr>
            <b/>
            <sz val="9"/>
            <color indexed="81"/>
            <rFont val="Tahoma"/>
            <family val="2"/>
          </rPr>
          <t xml:space="preserve">
Follow Up Actions
</t>
        </r>
        <r>
          <rPr>
            <sz val="9"/>
            <color indexed="81"/>
            <rFont val="Tahoma"/>
            <family val="2"/>
          </rPr>
          <t xml:space="preserve">• Reminder - 1 Occurrence 
• Feedback - 2 Occurrence 
• Manager Action - 3 or More Occurrence </t>
        </r>
      </text>
    </comment>
    <comment ref="B20" authorId="0" shapeId="0">
      <text>
        <r>
          <rPr>
            <b/>
            <sz val="9"/>
            <color indexed="81"/>
            <rFont val="Tahoma"/>
            <family val="2"/>
          </rPr>
          <t xml:space="preserve">Job Description
-
Measurable Outputs
</t>
        </r>
        <r>
          <rPr>
            <sz val="9"/>
            <color indexed="81"/>
            <rFont val="Tahoma"/>
            <family val="2"/>
          </rPr>
          <t>Correct account audit (KB: 643)</t>
        </r>
        <r>
          <rPr>
            <b/>
            <sz val="9"/>
            <color indexed="81"/>
            <rFont val="Tahoma"/>
            <family val="2"/>
          </rPr>
          <t xml:space="preserve">
Follow Up Actions
</t>
        </r>
        <r>
          <rPr>
            <sz val="9"/>
            <color indexed="81"/>
            <rFont val="Tahoma"/>
            <family val="2"/>
          </rPr>
          <t xml:space="preserve">• Reminder - 1 Occurrence 
• Feedback - 2 Occurrence 
• Manager Action - 3 or More Occurrence </t>
        </r>
      </text>
    </comment>
    <comment ref="D20" authorId="0" shapeId="0">
      <text>
        <r>
          <rPr>
            <b/>
            <sz val="9"/>
            <color indexed="81"/>
            <rFont val="Tahoma"/>
            <family val="2"/>
          </rPr>
          <t xml:space="preserve">Job Description
-
Measurable Outputs
</t>
        </r>
        <r>
          <rPr>
            <sz val="9"/>
            <color indexed="81"/>
            <rFont val="Tahoma"/>
            <family val="2"/>
          </rPr>
          <t>Correct account audit (KB: 643)</t>
        </r>
        <r>
          <rPr>
            <b/>
            <sz val="9"/>
            <color indexed="81"/>
            <rFont val="Tahoma"/>
            <family val="2"/>
          </rPr>
          <t xml:space="preserve">
Follow Up Actions
</t>
        </r>
        <r>
          <rPr>
            <sz val="9"/>
            <color indexed="81"/>
            <rFont val="Tahoma"/>
            <family val="2"/>
          </rPr>
          <t xml:space="preserve">• Reminder - 1 Occurrence 
• Feedback - 2 Occurrence 
• Manager Action - 3 or More Occurrence </t>
        </r>
      </text>
    </comment>
  </commentList>
</comments>
</file>

<file path=xl/sharedStrings.xml><?xml version="1.0" encoding="utf-8"?>
<sst xmlns="http://schemas.openxmlformats.org/spreadsheetml/2006/main" count="13306" uniqueCount="650">
  <si>
    <t>Xiangyi Tan</t>
  </si>
  <si>
    <t>Week:</t>
  </si>
  <si>
    <t>Team Leader:</t>
  </si>
  <si>
    <t>Name</t>
  </si>
  <si>
    <t>Start Time</t>
  </si>
  <si>
    <t>End Time</t>
  </si>
  <si>
    <t>Slot</t>
  </si>
  <si>
    <t>Date</t>
  </si>
  <si>
    <t>Time</t>
  </si>
  <si>
    <t>ID</t>
  </si>
  <si>
    <t>Staffname</t>
  </si>
  <si>
    <t>username</t>
  </si>
  <si>
    <t>Level</t>
  </si>
  <si>
    <t>TeamLeader</t>
  </si>
  <si>
    <t>Supervisor</t>
  </si>
  <si>
    <t>Group</t>
  </si>
  <si>
    <t>Team</t>
  </si>
  <si>
    <t>Xi Chen</t>
  </si>
  <si>
    <t>xichen</t>
  </si>
  <si>
    <t>Team Leader</t>
  </si>
  <si>
    <t>Tingting Ge</t>
  </si>
  <si>
    <t>Paula Yang</t>
  </si>
  <si>
    <t>paulayang</t>
  </si>
  <si>
    <t>Robert Yang</t>
  </si>
  <si>
    <t>Chu Wu</t>
  </si>
  <si>
    <t>chuwu</t>
  </si>
  <si>
    <t>Shuqi Wei</t>
  </si>
  <si>
    <t>Mengwen Li</t>
  </si>
  <si>
    <t>Shih Jay Hwang</t>
  </si>
  <si>
    <t>shih-jayhwang</t>
  </si>
  <si>
    <t>Peng Zhang</t>
  </si>
  <si>
    <t>pengzhang</t>
  </si>
  <si>
    <t>Jeff Zhang</t>
  </si>
  <si>
    <t>Lu Wang</t>
  </si>
  <si>
    <t>luwang</t>
  </si>
  <si>
    <t>Ya Liang</t>
  </si>
  <si>
    <t>YaLiang</t>
  </si>
  <si>
    <t>Roger Bian</t>
  </si>
  <si>
    <t>rogerbian</t>
  </si>
  <si>
    <t>Huijun Zhou</t>
  </si>
  <si>
    <t>Qingsong Zhou</t>
  </si>
  <si>
    <t>qingsongzhou</t>
  </si>
  <si>
    <t>kieronzhao</t>
  </si>
  <si>
    <t>Liang Cheng</t>
  </si>
  <si>
    <t>Miaomiao Zhou</t>
  </si>
  <si>
    <t>miaomiaozhou</t>
  </si>
  <si>
    <t>Lili Peng</t>
  </si>
  <si>
    <t>Muhetaer Munire</t>
  </si>
  <si>
    <t>muhetaermunire</t>
  </si>
  <si>
    <t>Mingming Guo</t>
  </si>
  <si>
    <t>chaohuifeng</t>
  </si>
  <si>
    <t>Yingying Wu</t>
  </si>
  <si>
    <t>Yang Wu</t>
  </si>
  <si>
    <t>yangwu</t>
  </si>
  <si>
    <t>Letian Zhang</t>
  </si>
  <si>
    <t>Boris Lo</t>
  </si>
  <si>
    <t>borislo</t>
  </si>
  <si>
    <t>Hui Su</t>
  </si>
  <si>
    <t>xiangyitan</t>
  </si>
  <si>
    <t>Meng Jiang</t>
  </si>
  <si>
    <t>Shiying Jia</t>
  </si>
  <si>
    <t>shiyingjia</t>
  </si>
  <si>
    <t>Keqiao Wang</t>
  </si>
  <si>
    <t>KeqiaoWang</t>
  </si>
  <si>
    <t>Shining Liu</t>
  </si>
  <si>
    <t>08:00-12:00</t>
  </si>
  <si>
    <t>12:30-16:30</t>
  </si>
  <si>
    <t>17:00-21:00</t>
  </si>
  <si>
    <t>TDID</t>
  </si>
  <si>
    <t>WeekDate</t>
  </si>
  <si>
    <t>TDDate</t>
  </si>
  <si>
    <t>LoginID</t>
  </si>
  <si>
    <t>AgentName</t>
  </si>
  <si>
    <t>Supervisor:</t>
  </si>
  <si>
    <t>Name in Verint:</t>
  </si>
  <si>
    <t>Role:</t>
  </si>
  <si>
    <t>Advisor</t>
  </si>
  <si>
    <t>Manager</t>
  </si>
  <si>
    <t>Name in Rota</t>
  </si>
  <si>
    <t>Day</t>
  </si>
  <si>
    <t>Night</t>
  </si>
  <si>
    <t>TD Calendar</t>
  </si>
  <si>
    <t>Event</t>
  </si>
  <si>
    <t>Mingtao Zhang</t>
  </si>
  <si>
    <t>Login User:</t>
  </si>
  <si>
    <t>Year</t>
  </si>
  <si>
    <t>Period</t>
  </si>
  <si>
    <t>Band</t>
  </si>
  <si>
    <t>Link</t>
  </si>
  <si>
    <t>Location</t>
  </si>
  <si>
    <t>File Name</t>
  </si>
  <si>
    <t>Call Number</t>
  </si>
  <si>
    <t>Chat Number</t>
  </si>
  <si>
    <t>Email Number</t>
  </si>
  <si>
    <t>Calls Score</t>
  </si>
  <si>
    <t>Chats Score</t>
  </si>
  <si>
    <t>Emails Score</t>
  </si>
  <si>
    <t>Calls Result</t>
  </si>
  <si>
    <t>Chats Result</t>
  </si>
  <si>
    <t>Emails Result</t>
  </si>
  <si>
    <t>Performance</t>
  </si>
  <si>
    <t>Calls Progress</t>
  </si>
  <si>
    <t>Chats Progress</t>
  </si>
  <si>
    <t>Emails Progress</t>
  </si>
  <si>
    <t>LQ</t>
  </si>
  <si>
    <t>MQ</t>
  </si>
  <si>
    <t>HQ</t>
  </si>
  <si>
    <t>LQ Percentage</t>
  </si>
  <si>
    <t>MQ Percentage</t>
  </si>
  <si>
    <t>HQ Percentage</t>
  </si>
  <si>
    <t>CallLQ</t>
  </si>
  <si>
    <t>ChatLQ</t>
  </si>
  <si>
    <t>EmailLQ</t>
  </si>
  <si>
    <t>CallMQ</t>
  </si>
  <si>
    <t>ChatMQ</t>
  </si>
  <si>
    <t>EmailMQ</t>
  </si>
  <si>
    <t>CallHQ</t>
  </si>
  <si>
    <t>ChatHQ</t>
  </si>
  <si>
    <t>EmailHQ</t>
  </si>
  <si>
    <t>Dashboard</t>
  </si>
  <si>
    <t>Year:</t>
  </si>
  <si>
    <t>Bonus Period:</t>
  </si>
  <si>
    <t>Q2</t>
  </si>
  <si>
    <t>Advisor Name</t>
  </si>
  <si>
    <t>Document Link</t>
  </si>
  <si>
    <t>Result</t>
  </si>
  <si>
    <t>Sync Result</t>
  </si>
  <si>
    <t>B</t>
  </si>
  <si>
    <t>Open File</t>
  </si>
  <si>
    <t>Met</t>
  </si>
  <si>
    <t>A</t>
  </si>
  <si>
    <t>Q1</t>
  </si>
  <si>
    <t>Q3</t>
  </si>
  <si>
    <t>Q4</t>
  </si>
  <si>
    <t>Advisor Name:</t>
  </si>
  <si>
    <t>Line Supervisor:</t>
  </si>
  <si>
    <t>Line Team Leader:</t>
  </si>
  <si>
    <t>Banding:</t>
  </si>
  <si>
    <t>Folder Path:</t>
  </si>
  <si>
    <t>Document Name:</t>
  </si>
  <si>
    <t>Document Link:</t>
  </si>
  <si>
    <t>File Location</t>
  </si>
  <si>
    <t>File Path</t>
  </si>
  <si>
    <t>Document ID</t>
  </si>
  <si>
    <t>Calls</t>
  </si>
  <si>
    <t>Calls Completed</t>
  </si>
  <si>
    <t>Live Chats</t>
  </si>
  <si>
    <t>Chats Completed</t>
  </si>
  <si>
    <t>Emails</t>
  </si>
  <si>
    <t>Emails Completed</t>
  </si>
  <si>
    <t>Call Performance Met?</t>
  </si>
  <si>
    <t>Chats Performance Met?</t>
  </si>
  <si>
    <t>Emails Performance Met?</t>
  </si>
  <si>
    <t>Calls LQ</t>
  </si>
  <si>
    <t>Chats LQ</t>
  </si>
  <si>
    <t>Emails LQ</t>
  </si>
  <si>
    <t>Calls MQ</t>
  </si>
  <si>
    <t>Chats MQ</t>
  </si>
  <si>
    <t>Emails MQ</t>
  </si>
  <si>
    <t>Calls HQ</t>
  </si>
  <si>
    <t>Chats HQ</t>
  </si>
  <si>
    <t>Emails HQ</t>
  </si>
  <si>
    <t>Performance Met?</t>
  </si>
  <si>
    <t>T</t>
  </si>
  <si>
    <t>C</t>
  </si>
  <si>
    <t>Jian Zhang</t>
  </si>
  <si>
    <t>jianzhang</t>
  </si>
  <si>
    <t>Zhiyun Yang</t>
  </si>
  <si>
    <t>Yiying / Zhiyun / Cherry</t>
  </si>
  <si>
    <t>Wenxiang Liu</t>
  </si>
  <si>
    <t>wenxiangliu</t>
  </si>
  <si>
    <t>Yiying Lin</t>
  </si>
  <si>
    <t>Bin Hao</t>
  </si>
  <si>
    <t>binhao</t>
  </si>
  <si>
    <t>Yuehui Gao</t>
  </si>
  <si>
    <t>yuehuigao</t>
  </si>
  <si>
    <t>Qijun Huang</t>
  </si>
  <si>
    <t>John Hongjun Li</t>
  </si>
  <si>
    <t>johnhongjunli</t>
  </si>
  <si>
    <t>Bo Yang</t>
  </si>
  <si>
    <t>BoYang</t>
  </si>
  <si>
    <t>Andrew Choi</t>
  </si>
  <si>
    <t>andrewchoi</t>
  </si>
  <si>
    <t>Chao Xu</t>
  </si>
  <si>
    <t>chaoxu</t>
  </si>
  <si>
    <t>Kieron Zhao</t>
  </si>
  <si>
    <t>Phoebe Zhao</t>
  </si>
  <si>
    <t>PhoebeZhao</t>
  </si>
  <si>
    <t>huijunzhou</t>
  </si>
  <si>
    <t>lzhang</t>
  </si>
  <si>
    <t>yingyingwu</t>
  </si>
  <si>
    <t>yiyinglin</t>
  </si>
  <si>
    <t>robertyang</t>
  </si>
  <si>
    <t>shiningliu</t>
  </si>
  <si>
    <t>huisu</t>
  </si>
  <si>
    <t>tingtingge</t>
  </si>
  <si>
    <t>lilipeng</t>
  </si>
  <si>
    <t>mengwenli</t>
  </si>
  <si>
    <t>liangcheng</t>
  </si>
  <si>
    <t>MengJiang</t>
  </si>
  <si>
    <t>zhiyunyang</t>
  </si>
  <si>
    <t>qijunhuang</t>
  </si>
  <si>
    <t>shuqiwei</t>
  </si>
  <si>
    <t>Cherry Zhang</t>
  </si>
  <si>
    <t>cherryzhang</t>
  </si>
  <si>
    <t>jeffzhang</t>
  </si>
  <si>
    <t>Ming Ming Guo</t>
  </si>
  <si>
    <t>mingmingguo</t>
  </si>
  <si>
    <t>Tim Chen</t>
  </si>
  <si>
    <t>Security was not confirmed when it was essential to do so (KB: 2678)</t>
  </si>
  <si>
    <t>C1</t>
  </si>
  <si>
    <t>Used inappropriate or rude language</t>
  </si>
  <si>
    <t>C2</t>
  </si>
  <si>
    <t>Used an impolite or impatient tone during the call</t>
  </si>
  <si>
    <t>C3</t>
  </si>
  <si>
    <t>Provided incorrect information which was inexcusable or critical</t>
  </si>
  <si>
    <t>C4</t>
  </si>
  <si>
    <t>Provided incorrect information which was excusable or non-critical</t>
  </si>
  <si>
    <t>C5</t>
  </si>
  <si>
    <t>Internal escalation process was not adhered to</t>
  </si>
  <si>
    <t>C6</t>
  </si>
  <si>
    <t>Chat ended without answering the query</t>
  </si>
  <si>
    <t>C7</t>
  </si>
  <si>
    <t>Correct opening is used (KB: 1835)</t>
  </si>
  <si>
    <t>R1</t>
  </si>
  <si>
    <t>Call ended without answering the query (unless evidence the customer hung up)</t>
  </si>
  <si>
    <t>Correct opening is used, and customer acknowledged within 60 seconds (KB: 1835)</t>
  </si>
  <si>
    <t>Accessed the account and demonstrated thorough investigation of the customer's issue/query</t>
  </si>
  <si>
    <t>R2</t>
  </si>
  <si>
    <t>Correct opening is used (KB: 1835), and customer acknowledged immediately</t>
  </si>
  <si>
    <t>Effective questioning where required to identify the query and gain full understanding</t>
  </si>
  <si>
    <t>R3</t>
  </si>
  <si>
    <t>Worked with the customer to provide a resolution in line with departmental procedures</t>
  </si>
  <si>
    <t>R4</t>
  </si>
  <si>
    <t>Use of relevant template and approved KB responses</t>
  </si>
  <si>
    <t>I1</t>
  </si>
  <si>
    <t>Provided information in a clear and concise manner which matched the customers understanding</t>
  </si>
  <si>
    <t>I2</t>
  </si>
  <si>
    <t>Use of approved KB responses</t>
  </si>
  <si>
    <t>Guided and educated the customer on relevant aspects of the account/query</t>
  </si>
  <si>
    <t>I3</t>
  </si>
  <si>
    <t>Framed message to the customer in a positive way</t>
  </si>
  <si>
    <t>E1</t>
  </si>
  <si>
    <t>Genuine empathy shown towards the customer</t>
  </si>
  <si>
    <t>E2</t>
  </si>
  <si>
    <t>Used personalised and tailored responses that were tailored to suit the customer and query</t>
  </si>
  <si>
    <t>E3</t>
  </si>
  <si>
    <t>Correct closing is used (KB: 1835)</t>
  </si>
  <si>
    <t>E4</t>
  </si>
  <si>
    <t>Professional structure and format (KB: 1835)</t>
  </si>
  <si>
    <t>B3</t>
  </si>
  <si>
    <t>Response times adhered to (KB: 1835)</t>
  </si>
  <si>
    <t>B1</t>
  </si>
  <si>
    <t xml:space="preserve">Correct spelling, punctuation and grammar throughout </t>
  </si>
  <si>
    <t>B2</t>
  </si>
  <si>
    <t>Hold procedure adhered to (KB: 1835)</t>
  </si>
  <si>
    <t>Correct account audit (KB: 643)</t>
  </si>
  <si>
    <t>B4</t>
  </si>
  <si>
    <t>Score</t>
  </si>
  <si>
    <t>Contact ID</t>
  </si>
  <si>
    <t>Contact Method</t>
  </si>
  <si>
    <t>Contact Sequence</t>
  </si>
  <si>
    <t>ReviewID</t>
  </si>
  <si>
    <t>Tim Chen 2024 Q3.xlsx</t>
  </si>
  <si>
    <t>Contact Review</t>
  </si>
  <si>
    <t>Meeting Recording</t>
  </si>
  <si>
    <t>Meeting Preparation</t>
  </si>
  <si>
    <t>Formal Coaching Meeting</t>
  </si>
  <si>
    <t>PDP Follow Up Meeting</t>
  </si>
  <si>
    <t>Banding Review Meeting</t>
  </si>
  <si>
    <t>Other Meeting</t>
  </si>
  <si>
    <t xml:space="preserve"> + </t>
  </si>
  <si>
    <t>Contact Review + Formal Coaching Meeting</t>
  </si>
  <si>
    <t>Contact Review + PDP Follow Up Meeting</t>
  </si>
  <si>
    <t>Contact Review + Banding Review Meeting</t>
  </si>
  <si>
    <t>Contact Review + Other Meeting</t>
  </si>
  <si>
    <t>Contact Review + Meeting Recording</t>
  </si>
  <si>
    <t>Contact Review + Meeting Preparation</t>
  </si>
  <si>
    <t>Meeting Preparation + Formal Coaching Meeting</t>
  </si>
  <si>
    <t>Meeting Preparation + PDP Follow Up Meeting</t>
  </si>
  <si>
    <t>Meeting Preparation + Banding Review Meeting</t>
  </si>
  <si>
    <t>Formal Coaching Meeting + Meeting Recording</t>
  </si>
  <si>
    <t>PDP Follow Up Meeting + Meeting Recording</t>
  </si>
  <si>
    <t>Banding Review Meeting + Meeting Recording</t>
  </si>
  <si>
    <t>Meeting Preparation + Formal Coaching Meeting + Meeting Recording</t>
  </si>
  <si>
    <t>Meeting Preparation + PDP Follow Up Meeting + Meeting Recording</t>
  </si>
  <si>
    <t>Meeting Preparation + Banding Review Meeting + Meeting Recording</t>
  </si>
  <si>
    <t>Events</t>
  </si>
  <si>
    <t>Period:</t>
  </si>
  <si>
    <t>Security Confirmation</t>
  </si>
  <si>
    <t>Procedure Adherence</t>
  </si>
  <si>
    <t>Security confirmation</t>
  </si>
  <si>
    <t>Inappropriate Language and Attitude</t>
  </si>
  <si>
    <t>Knowledge</t>
  </si>
  <si>
    <t>Escalation process adherence</t>
  </si>
  <si>
    <t>Information Accuracy</t>
  </si>
  <si>
    <t>Accuracy and Information Reliability</t>
  </si>
  <si>
    <t>Correct opening and closing (KB: 1835)</t>
  </si>
  <si>
    <t>R1 &amp; E4</t>
  </si>
  <si>
    <t>Escalation Process</t>
  </si>
  <si>
    <t>Account and Issue Understanding</t>
  </si>
  <si>
    <t>Account audit accuracy (KB: 643)</t>
  </si>
  <si>
    <t>Interrupt Service</t>
  </si>
  <si>
    <t>Communication Clarity and Tone</t>
  </si>
  <si>
    <t>Open and Close Contact in line with procedure</t>
  </si>
  <si>
    <t>Empathy and Customer Orientation</t>
  </si>
  <si>
    <t>Accuracy of information (critical or non-critical)</t>
  </si>
  <si>
    <t>C4 &amp; C5</t>
  </si>
  <si>
    <t>Issue Investigation</t>
  </si>
  <si>
    <t>Professional Conduct</t>
  </si>
  <si>
    <t>Use of templates and approved KB responses</t>
  </si>
  <si>
    <t>Issue Resolution</t>
  </si>
  <si>
    <t>Thorough account investigation</t>
  </si>
  <si>
    <t>Best Practice followed</t>
  </si>
  <si>
    <t>Effective questioning</t>
  </si>
  <si>
    <t>Empathy</t>
  </si>
  <si>
    <t>Escalation Process Adherence</t>
  </si>
  <si>
    <t>Opening and Closing</t>
  </si>
  <si>
    <t>Clarity and conciseness of information</t>
  </si>
  <si>
    <t>Positive message framing</t>
  </si>
  <si>
    <t>Personalization and tailoring of responses</t>
  </si>
  <si>
    <t>Display of empathy</t>
  </si>
  <si>
    <t>Customer guidance and education</t>
  </si>
  <si>
    <t>Professional structure, spelling, punctuation, and grammar</t>
  </si>
  <si>
    <t>B2 &amp; B3</t>
  </si>
  <si>
    <t>Hold Procedure Adherence</t>
  </si>
  <si>
    <t>Use of appropriate language</t>
  </si>
  <si>
    <t>C2 &amp; C3</t>
  </si>
  <si>
    <t>End Contaqct without answering query</t>
  </si>
  <si>
    <t>Username:</t>
  </si>
  <si>
    <t>Contact Date:</t>
  </si>
  <si>
    <t>Original Contact ID:</t>
  </si>
  <si>
    <t>Advisor's Name:</t>
  </si>
  <si>
    <t>Reason For Escalation</t>
  </si>
  <si>
    <t>Review Outcome</t>
  </si>
  <si>
    <t>Not Met</t>
  </si>
  <si>
    <t>Follow Up Actions</t>
  </si>
  <si>
    <t xml:space="preserve">Action Plan: </t>
  </si>
  <si>
    <t>Expectation:</t>
  </si>
  <si>
    <t>Outcome</t>
  </si>
  <si>
    <t>Contact ID:</t>
  </si>
  <si>
    <t>Reason for Escalation:</t>
  </si>
  <si>
    <t>Case ID:</t>
  </si>
  <si>
    <t>ContactReview Outcome:</t>
  </si>
  <si>
    <t>Contact Review File:</t>
  </si>
  <si>
    <t>Action to be Taken:</t>
  </si>
  <si>
    <t>Action By:</t>
  </si>
  <si>
    <t>Urgent Escalation - Review Outcome</t>
  </si>
  <si>
    <t>Urgent Escalation - Initial Communication</t>
  </si>
  <si>
    <t>Urgent Escalation - Follow Up Actions</t>
  </si>
  <si>
    <t>OR</t>
  </si>
  <si>
    <t xml:space="preserve">Reason for the Action: </t>
  </si>
  <si>
    <t>Urgent Escalation - Action Taken</t>
  </si>
  <si>
    <t>Meeting Record File:</t>
  </si>
  <si>
    <t>Historical Urgent Escalations</t>
  </si>
  <si>
    <t>CaseID</t>
  </si>
  <si>
    <t>Contact Date</t>
  </si>
  <si>
    <t>Meeting Record</t>
  </si>
  <si>
    <t>Contact Review Outcome</t>
  </si>
  <si>
    <t>Action Taken</t>
  </si>
  <si>
    <t>Receive customer's Complaint toward to a staff via live contacts</t>
  </si>
  <si>
    <t>Potential Not Met Contact identified from Historical Monitoring</t>
  </si>
  <si>
    <t>AsianCustomerService.ManagersEscalationMailbox@bet365.com</t>
  </si>
  <si>
    <t>Coaching</t>
  </si>
  <si>
    <t>Feedback</t>
  </si>
  <si>
    <t>Username</t>
  </si>
  <si>
    <t>CaseDate</t>
  </si>
  <si>
    <t>Creator</t>
  </si>
  <si>
    <r>
      <t>Action To be Taken:</t>
    </r>
    <r>
      <rPr>
        <sz val="8"/>
        <color rgb="FF000000"/>
        <rFont val="Arial"/>
        <family val="2"/>
      </rPr>
      <t xml:space="preserve"> </t>
    </r>
  </si>
  <si>
    <r>
      <t>Action By:</t>
    </r>
    <r>
      <rPr>
        <sz val="8"/>
        <color rgb="FF000000"/>
        <rFont val="Arial"/>
        <family val="2"/>
      </rPr>
      <t xml:space="preserve"> </t>
    </r>
  </si>
  <si>
    <r>
      <t xml:space="preserve">Action Taken: </t>
    </r>
    <r>
      <rPr>
        <sz val="8"/>
        <color rgb="FF000000"/>
        <rFont val="Arial"/>
        <family val="2"/>
      </rPr>
      <t xml:space="preserve"> </t>
    </r>
  </si>
  <si>
    <t>Review Outcome File</t>
  </si>
  <si>
    <t>Action to be Taken</t>
  </si>
  <si>
    <t>Action By</t>
  </si>
  <si>
    <t>Reason for Action</t>
  </si>
  <si>
    <t>Expectation</t>
  </si>
  <si>
    <t>Action Plan</t>
  </si>
  <si>
    <t>Action Taken File</t>
  </si>
  <si>
    <t>PDP</t>
  </si>
  <si>
    <t>PDP Record File:</t>
  </si>
  <si>
    <t>Development Area:</t>
  </si>
  <si>
    <t>PDP ID:</t>
  </si>
  <si>
    <t>Apple</t>
  </si>
  <si>
    <t>cherry</t>
  </si>
  <si>
    <t>elder</t>
  </si>
  <si>
    <t>Reminder</t>
  </si>
  <si>
    <t>Urgent Escalation - Action Taken (Where PDP is set up)</t>
  </si>
  <si>
    <t>PDPID</t>
  </si>
  <si>
    <t>Development Area</t>
  </si>
  <si>
    <t>Entry Date</t>
  </si>
  <si>
    <t>PDP File</t>
  </si>
  <si>
    <t>PDP Status</t>
  </si>
  <si>
    <t>Area</t>
  </si>
  <si>
    <t>Indicator</t>
  </si>
  <si>
    <t>Live Chat</t>
  </si>
  <si>
    <t>Phone</t>
  </si>
  <si>
    <t>Email</t>
  </si>
  <si>
    <t>Critical</t>
  </si>
  <si>
    <t>End Contanct without answering query</t>
  </si>
  <si>
    <t>Investigation</t>
  </si>
  <si>
    <t>Resolution and Escalation</t>
  </si>
  <si>
    <t>Timely, appropriate resolutions per procedures.</t>
  </si>
  <si>
    <t>Correct Information/Guidance</t>
  </si>
  <si>
    <t>Enhance</t>
  </si>
  <si>
    <t>Best Practice</t>
  </si>
  <si>
    <t>PDP Source:</t>
  </si>
  <si>
    <t>Customer Complaint</t>
  </si>
  <si>
    <t>Self-Assessment</t>
  </si>
  <si>
    <t>Performance Reviews</t>
  </si>
  <si>
    <t>Direct feedback from complaints.</t>
  </si>
  <si>
    <t>The advisor's own reflections on strengths and areas for improvement.</t>
  </si>
  <si>
    <t>Observations and suggestions from supervisors, team leads, or other department</t>
  </si>
  <si>
    <t>Banding Review</t>
  </si>
  <si>
    <t>Results from historical contact review</t>
  </si>
  <si>
    <t>Insights from banding reviews</t>
  </si>
  <si>
    <t>Cycle 1</t>
  </si>
  <si>
    <t>No Demonstration</t>
  </si>
  <si>
    <t>Cycle 2</t>
  </si>
  <si>
    <t>Cycle 3</t>
  </si>
  <si>
    <t>All Contacts</t>
  </si>
  <si>
    <t>LQ Contacts</t>
  </si>
  <si>
    <t>Total Contacts</t>
  </si>
  <si>
    <t>Cycle</t>
  </si>
  <si>
    <t>C1 LQ</t>
  </si>
  <si>
    <t>C1 MQ</t>
  </si>
  <si>
    <t>C1 HQ</t>
  </si>
  <si>
    <t>C2 LQ</t>
  </si>
  <si>
    <t>C2 MQ</t>
  </si>
  <si>
    <t>C2 HQ</t>
  </si>
  <si>
    <t>C3 LQ</t>
  </si>
  <si>
    <t>C3 MQ</t>
  </si>
  <si>
    <t>C3 HQ</t>
  </si>
  <si>
    <t>Quality</t>
  </si>
  <si>
    <t>Whole Period</t>
  </si>
  <si>
    <t>Performance Stats</t>
  </si>
  <si>
    <t>TD Planner</t>
  </si>
  <si>
    <t>Urgent Escalation</t>
  </si>
  <si>
    <t>Contact Review File</t>
  </si>
  <si>
    <t>StaffName</t>
  </si>
  <si>
    <t/>
  </si>
  <si>
    <t>Performance Review Stats</t>
  </si>
  <si>
    <t>Staff Record</t>
  </si>
  <si>
    <t>Date of Meeting:</t>
  </si>
  <si>
    <t>PDP Source</t>
  </si>
  <si>
    <t>Historical PDPs</t>
  </si>
  <si>
    <t>Staff Log File:</t>
  </si>
  <si>
    <t>Staff Log Link:</t>
  </si>
  <si>
    <t>Staff Log</t>
  </si>
  <si>
    <t>Di Wu</t>
  </si>
  <si>
    <t>PeterArcher</t>
  </si>
  <si>
    <t>Limiao Sun</t>
  </si>
  <si>
    <t>Zee Yin Chiong</t>
  </si>
  <si>
    <t>Open</t>
  </si>
  <si>
    <t>Closed</t>
  </si>
  <si>
    <t>Xiaodong Lian</t>
  </si>
  <si>
    <t>xiaodonglian</t>
  </si>
  <si>
    <t>Juan Sun</t>
  </si>
  <si>
    <t>juansun</t>
  </si>
  <si>
    <t>Yan Shi</t>
  </si>
  <si>
    <t>yanshi</t>
  </si>
  <si>
    <t>Zihan Wang</t>
  </si>
  <si>
    <t>zihanwang</t>
  </si>
  <si>
    <t>Isabel Zhang</t>
  </si>
  <si>
    <t>isabelzhang</t>
  </si>
  <si>
    <t>Fang-Chin Hsu</t>
  </si>
  <si>
    <t>fangchinhsu</t>
  </si>
  <si>
    <t>Hailong Li</t>
  </si>
  <si>
    <t>hailongli</t>
  </si>
  <si>
    <t>Yunfei Zheng</t>
  </si>
  <si>
    <t>yunfeizheng</t>
  </si>
  <si>
    <t>Guohao Wu</t>
  </si>
  <si>
    <t>guohaowu</t>
  </si>
  <si>
    <t>Zhihong Wu</t>
  </si>
  <si>
    <t>zhihongwu</t>
  </si>
  <si>
    <t>Wai Yee Chin</t>
  </si>
  <si>
    <t>waiyeechin</t>
  </si>
  <si>
    <t>Bin Liao</t>
  </si>
  <si>
    <t>binliao</t>
  </si>
  <si>
    <t>Bin hao</t>
  </si>
  <si>
    <t>Yue Xia</t>
  </si>
  <si>
    <t>yuexia</t>
  </si>
  <si>
    <t>Yuanyuan Lu</t>
  </si>
  <si>
    <t>yuanlu</t>
  </si>
  <si>
    <t>Xin Cui</t>
  </si>
  <si>
    <t>xincui</t>
  </si>
  <si>
    <t>Chi Hou Chan(Hosen)</t>
  </si>
  <si>
    <t>chihouchan</t>
  </si>
  <si>
    <t>LingYun Gao</t>
  </si>
  <si>
    <t>lingyungao</t>
  </si>
  <si>
    <t>Andy Xue</t>
  </si>
  <si>
    <t>andyxue</t>
  </si>
  <si>
    <t>Liucen Ye</t>
  </si>
  <si>
    <t>liucenye</t>
  </si>
  <si>
    <t>Andy Jian Li</t>
  </si>
  <si>
    <t>AndyJianLi</t>
  </si>
  <si>
    <t>Yuanyuan Kong</t>
  </si>
  <si>
    <t>yuanyuankong</t>
  </si>
  <si>
    <t>Lina Ji</t>
  </si>
  <si>
    <t>linaji</t>
  </si>
  <si>
    <t>Emma Zhang</t>
  </si>
  <si>
    <t>emmazhang</t>
  </si>
  <si>
    <t>Liwen Shi</t>
  </si>
  <si>
    <t>liwenshi</t>
  </si>
  <si>
    <t>Moon Won Song</t>
  </si>
  <si>
    <t>moonwonsong</t>
  </si>
  <si>
    <t>Yu Wang</t>
  </si>
  <si>
    <t>yuwang</t>
  </si>
  <si>
    <t>Mingquan Zhang</t>
  </si>
  <si>
    <t>mingquanzhang</t>
  </si>
  <si>
    <t>fengchi</t>
  </si>
  <si>
    <t>Wei Zeng</t>
  </si>
  <si>
    <t>ZengWei</t>
  </si>
  <si>
    <t>Amanda Chang</t>
  </si>
  <si>
    <t>amandachang</t>
  </si>
  <si>
    <t>Huiyang Lin</t>
  </si>
  <si>
    <t>huiyanglin</t>
  </si>
  <si>
    <t>diwu</t>
  </si>
  <si>
    <t>Ruiting Di</t>
  </si>
  <si>
    <t>ruitingdi</t>
  </si>
  <si>
    <t>Qiuyu Huang</t>
  </si>
  <si>
    <t>qiuyuhuang</t>
  </si>
  <si>
    <t>nicoleliang</t>
  </si>
  <si>
    <t>Helen He</t>
  </si>
  <si>
    <t>helenhe</t>
  </si>
  <si>
    <t>feiyin</t>
  </si>
  <si>
    <t>Wei Chung Hsing</t>
  </si>
  <si>
    <t>weichunghsing</t>
  </si>
  <si>
    <t>David Lee</t>
  </si>
  <si>
    <t>davidlee</t>
  </si>
  <si>
    <t>Tianci Zong</t>
  </si>
  <si>
    <t>tiancizong</t>
  </si>
  <si>
    <t>Shuai Yu</t>
  </si>
  <si>
    <t>Shuaiyu</t>
  </si>
  <si>
    <t>Melissa Tan</t>
  </si>
  <si>
    <t>melissatan</t>
  </si>
  <si>
    <t>Jing Lin</t>
  </si>
  <si>
    <t>jinglin</t>
  </si>
  <si>
    <t>Payllona Liu</t>
  </si>
  <si>
    <t>payllonaliu</t>
  </si>
  <si>
    <t>Yingying Zhang</t>
  </si>
  <si>
    <t>yingyingzhang</t>
  </si>
  <si>
    <t>Mary Fu</t>
  </si>
  <si>
    <t>Maryfu</t>
  </si>
  <si>
    <t>Jackson Chai</t>
  </si>
  <si>
    <t>jacksonchai</t>
  </si>
  <si>
    <t>Long Chen</t>
  </si>
  <si>
    <t>longchen</t>
  </si>
  <si>
    <t>nickzhang</t>
  </si>
  <si>
    <t>Xinyu Yin</t>
  </si>
  <si>
    <t>xinyuyin</t>
  </si>
  <si>
    <t>Chaohui Feng</t>
  </si>
  <si>
    <t>Shawn Xiao</t>
  </si>
  <si>
    <t>Juan Pi</t>
  </si>
  <si>
    <t>joyeung</t>
  </si>
  <si>
    <t>Yanhua Liu</t>
  </si>
  <si>
    <t>yanhualiu</t>
  </si>
  <si>
    <t>Xiaodong Dai</t>
  </si>
  <si>
    <t>xiaodongdai</t>
  </si>
  <si>
    <t>Xinyue Guo</t>
  </si>
  <si>
    <t>XinyueGuo</t>
  </si>
  <si>
    <t>Eden Zhang</t>
  </si>
  <si>
    <t>Xin Li</t>
  </si>
  <si>
    <t>Peter Archer</t>
  </si>
  <si>
    <t>Ziyu Luo</t>
  </si>
  <si>
    <t>John Lee</t>
  </si>
  <si>
    <t>Xue Li</t>
  </si>
  <si>
    <t>Ivan Li</t>
  </si>
  <si>
    <t>Derek Lai</t>
  </si>
  <si>
    <t>dereklai</t>
  </si>
  <si>
    <t>Hiu Yee Kok</t>
  </si>
  <si>
    <t>HiuYeeKok</t>
  </si>
  <si>
    <t>Yu Shi</t>
  </si>
  <si>
    <t>Kwok Ho Tang</t>
  </si>
  <si>
    <t>keqiaowang</t>
  </si>
  <si>
    <t>Lingling Zhang</t>
  </si>
  <si>
    <t>linglingzhang</t>
  </si>
  <si>
    <t>Milkie Wong</t>
  </si>
  <si>
    <t>Luana Buckley</t>
  </si>
  <si>
    <t>luanabuckley</t>
  </si>
  <si>
    <t>Adrian Lee</t>
  </si>
  <si>
    <t>adrianlee</t>
  </si>
  <si>
    <t>Qianrui Jiang</t>
  </si>
  <si>
    <t>Jiang, Qianrui</t>
  </si>
  <si>
    <t>Qianyu Zhu</t>
  </si>
  <si>
    <t>Suki Yeung</t>
  </si>
  <si>
    <t>Suzzie Yan</t>
  </si>
  <si>
    <t>Cyrus Lam</t>
  </si>
  <si>
    <t>Mina Jiao</t>
  </si>
  <si>
    <t>MinaJiao</t>
  </si>
  <si>
    <t>Joy Zhao</t>
  </si>
  <si>
    <t>JoyZhao</t>
  </si>
  <si>
    <t>Amanda Li</t>
  </si>
  <si>
    <t>amandali</t>
  </si>
  <si>
    <t>Caroline Zhang</t>
  </si>
  <si>
    <t>carolinezhang</t>
  </si>
  <si>
    <t>PDP Record</t>
  </si>
  <si>
    <t>Banding</t>
  </si>
  <si>
    <t>Jay He</t>
  </si>
  <si>
    <t>JayHe</t>
  </si>
  <si>
    <t>xiangpengkong</t>
  </si>
  <si>
    <t>Xiang Peng Kong</t>
  </si>
  <si>
    <t>Kenneth Chen</t>
  </si>
  <si>
    <t>kennethchen</t>
  </si>
  <si>
    <t>Nicole Liang</t>
  </si>
  <si>
    <t>Fei Yin</t>
  </si>
  <si>
    <t>Nick Zhang</t>
  </si>
  <si>
    <t>Jo Yeung</t>
  </si>
  <si>
    <t>Feng Chi</t>
  </si>
  <si>
    <t>Catch Up</t>
  </si>
  <si>
    <t>Briefing</t>
  </si>
  <si>
    <t>MeetingID</t>
  </si>
  <si>
    <t>Meeting Date</t>
  </si>
  <si>
    <t>Meeting Time</t>
  </si>
  <si>
    <t>Meeting Host</t>
  </si>
  <si>
    <t>Meeting Category</t>
  </si>
  <si>
    <t>Meeting Room</t>
  </si>
  <si>
    <t>Meeting File</t>
  </si>
  <si>
    <t>Meeting Log</t>
  </si>
  <si>
    <t>Meeting ID:</t>
  </si>
  <si>
    <t>Meeting Start Time (hh:mm)</t>
  </si>
  <si>
    <t>Meeting Category:</t>
  </si>
  <si>
    <t>Meeting Hosted By:</t>
  </si>
  <si>
    <t>Historical Meeting</t>
  </si>
  <si>
    <t>Meeting ID</t>
  </si>
  <si>
    <t>End Contact without answering query</t>
  </si>
  <si>
    <t>BandATracker</t>
  </si>
  <si>
    <t>BandBTracker</t>
  </si>
  <si>
    <t>Band A Sign Off Progress Tracker File:</t>
  </si>
  <si>
    <t>Band T-A Tracker Link:</t>
  </si>
  <si>
    <t>Band B Sign Off Progress Tracker File:</t>
  </si>
  <si>
    <t>Band A-B Tracker Link:</t>
  </si>
  <si>
    <t>AIzaSyAxrATBo3U3qAaFTH1xhetIw-EyWDCynV0</t>
  </si>
  <si>
    <t>Call</t>
  </si>
  <si>
    <t>CRITICAL AREAS
Security Confirmation
Weight: -100%
Status: [Status 1]
Professional Language
Weight: -100%
Status: [Status 2]
Polite and Patient Tone
Weight: -100%
Status: [Status 3]
Critical Information Accuracy
Weight: -100%
Status: [Status 4]
Non-Critical Information Accuracy
Weight: -10%
Status: [Status 5]
Escalation Process Adherence
Weight: -100%
Status: [Status 6]
Query Completion
Weight: -100%
Status: [Status 7]
Evidence: [Evidence 1]
RESOLVE REQUIREMENTS
Opening Acknowledgment (60s)
Weight: 2.5%
Status: [Status 8]
Account Investigation
Weight: 7.5%
Status: [Status 9]
Effective Questioning
Weight: 5.0%
Status: [Status 10]
Resolution Alignment
Weight: 15.0%
Status: [Status 11]
Evidence: [Evidence 2]
INFORM REQUIREMENTS
Template/KB Usage
Weight: 5%
Status: [Status 12]
Clear Communication
Weight: 12.5%
Status: [Status 13]
Customer Education
Weight: 12.5%
Status: [Status 14]
Evidence: [Evidence 3]
ENHANCE REQUIREMENTS
Positive Framing
Weight: 12.5%
Status: [Status 15]
Empathy Display
Weight: 12.5%
Status: [Status 16]
Personalized Response
Weight: 2.5%
Status: [Status 17]
Correct Closing
Weight: 2.5%
Status: [Status 18]
Evidence: [Evidence 4]
BEST PRACTICE
Response Times
Weight: 2.50%
Status: [Status 19]
Grammar and Spelling
Weight: 2.50%
Status: [Status 20]
Account Audit
Weight: 5%
Status: [Status 21]
Evidence: [Evidence 5]</t>
  </si>
  <si>
    <t xml:space="preserve">
The following information is for reference only and should not be directly used in your action plan.
</t>
  </si>
  <si>
    <t>Comment</t>
  </si>
  <si>
    <t>Comment (Optional):</t>
  </si>
  <si>
    <t>Staff Name</t>
  </si>
  <si>
    <t>Staff Log File</t>
  </si>
  <si>
    <t>Band A Sign Off Tracker</t>
  </si>
  <si>
    <t>Band B Sign Off Tracker</t>
  </si>
  <si>
    <t xml:space="preserve">CRITICAL AREAS 
Security Confirmation 
Weight: -100% 
Status: [C1]; 
Professional Language 
Weight: -100% 
Status: [C2]; 
Critical Information Accuracy 
Weight: -100% 
Status: [C4]; 
Non-Critical Information Accuracy 
Weight: -10% 
Status: [C5]; 
Escalation Process Adherence 
Weight: -100% 
Status: [C6]; 
Query Completion 
Weight: -100% 
Status: [C7]; 
Evidence: [Evidence 1] 
RESOLVE REQUIREMENTS 
Opening Acknowledgment (60s) 
Weight: 2.5% 
Status: [R1]; 
Account Investigation 
Weight: 7.5% 
Status: [R2]; 
Effective Questioning 
Weight: 5.0% 
Status: [R3]; 
Resolution Alignment 
Weight: 15.0% 
Status: [R4]; 
Evidence: [Evidence 2] 
INFORM REQUIREMENTS 
Template/Kknowledgebase Usage 
Weight: 5% 
Status: [I1]; 
Clear Communication 
Weight: 12.5% 
Status: [I2]; 
Customer Education 
Weight: 12.5% 
Status: [I3]; 
Evidence: [Evidence 3] 
ENHANCE REQUIREMENTS 
Positive Framing 
Weight: 12.5% 
Status: [E1]; 
Empathy Display 
Weight: 12.5% 
Status: [E2]; 
Personalized Response 
Weight: 2.5% 
Status: [E3]; 
Correct Closing 
Weight: 2.5% 
Status: [E4]; 
Evidence: [Evidence 4] 
BEST PRACTICE 
Response Times 
Weight: 2.5% 
Status: [B1]; 
Grammar and Spelling 
Weight: 2.5% 
Status: [B2]; 
Account Audit 
Weight: 5% 
Status: [B4]; 
Evidence: [Evidence 5] </t>
  </si>
  <si>
    <t xml:space="preserve">CRITICAL AREAS 
Security Confirmation 
Weight: -100% 
Status: [C1]; 
Professional Language 
Weight: -100% 
Status: [C2]; 
Polite and Patient Tone 
Weight: -100% 
Status: [C3]; 
Critical Information Accuracy 
Weight: -100% 
Status: [C4]; 
Non-Critical Information Accuracy 
Weight: -10% 
Status: [C5]; 
Escalation Process Adherence 
Weight: -100% 
Status: [C6]; 
Query Completion 
Weight: -100% 
Status: [C7]; 
Evidence: [Evidence 1] 
RESOLVE REQUIREMENTS 
Opening Acknowledgment (60s) 
Weight: 2.5% 
Status: [R1]; 
Account Investigation 
Weight: 7.5% 
Status: [R2]; 
Effective Questioning 
Weight: 5.0% 
Status: [R3]; 
Resolution Alignment 
Weight: 15.0% 
Status: [R4]; 
Evidence: [Evidence 2] 
INFORM REQUIREMENTS 
Template/Kknowledgebase Usage 
Weight: 5% 
Status: [I1]; 
Clear Communication 
Weight: 12.5% 
Status: [I2]; 
Customer Education 
Weight: 12.5% 
Status: [I3]; 
Evidence: [Evidence 3] 
ENHANCE REQUIREMENTS 
Positive Framing 
Weight: 12.5% 
Status: [E1]; 
Empathy Display 
Weight: 12.5% 
Status: [E2]; 
Personalized Response 
Weight: 2.5% 
Status: [E3]; 
Correct Closing 
Weight: 2.5% 
Status: [E4]; 
Evidence: [Evidence 4] 
BEST PRACTICE 
Response Times 
Weight: 5% 
Status: [B1]; 
Account Audit 
Weight: 5% 
Status: [B4]; 
Evidence: [Evidence 5] </t>
  </si>
  <si>
    <t xml:space="preserve">CRITICAL AREAS 
Security Confirmation 
Weight: -100% 
Status: [C1]; 
Professional Language 
Weight: -100% 
Status: [C2]; 
Critical Information Accuracy 
Weight: -100% 
Status: [C4]; 
Non-Critical Information Accuracy 
Weight: -10% 
Status: [C5]; 
Escalation Process Adherence 
Weight: -100% 
Status: [C6]; 
Evidence: [Evidence 1] 
RESOLVE REQUIREMENTS 
Opening Acknowledgment (60s) 
Weight: 2.5% 
Status: [R1]; 
Account Investigation 
Weight: 7.5% 
Status: [R2]; 
Effective Questioning 
Weight: 5.0% 
Status: [R3]; 
Resolution Alignment 
Weight: 15.0% 
Status: [R4]; 
Evidence: [Evidence 2] 
INFORM REQUIREMENTS 
Template/KB Usage 
Weight: 5% 
Status: [I1]; 
Clear Communication 
Weight: 12.5% 
Status: [I2]; 
Customer Education 
Weight: 12.5% 
Status: [I3]; 
Evidence: [Evidence 3] 
ENHANCE REQUIREMENTS 
Positive Framing 
Weight: 12.5% 
Status: [E1]; 
Empathy Display 
Weight: 12.5% 
Status: [E2]; 
Personalized Response 
Weight: 2.5% 
Status: [E3]; 
Correct Closing 
Weight: 2.5% 
Status: [E4]; 
Evidence: [Evidence 4] 
BEST PRACTICE 
Professional Structue 
Weight: 2.5% 
Status: [B3]; 
Grammar and Spelling 
Weight: 2.5% 
Status: [B2]; 
Account Audit 
Weight: 5% 
Status: [B4]; 
Evidence: [Evidence 5] </t>
  </si>
  <si>
    <t xml:space="preserve">Below outlines a detailed Job Description (JD) and Criteria for evaluating performance in a customer service role within customer service department. It focuses on identifying General Development Need Areas and Specific Development Need Areas, along with Measurable Outputs and Follow-Up Actions to address performance gaps. Below is a structured breakdown of the key components:
1. Job Description (JD)
Objective: Select the JD relevant to the criteria provided.
Focus Areas:
General Development Need Area: All Not Met criteria.
Specific Development Need Area: Specific Not Met criteria requiring follow-up actions, such as Personal Development Plans (PDP) or coaching.
2. Critical Areas and Performance Gaps
The document identifies several critical areas where performance gaps may occur, along with measurable outputs and follow-up actions. Here are the key areas:
A. Security Protocols (7.2)
Issue: Security protocols were not followed (e.g., failure to confirm security levels or verify information).
Measurable Outputs:
Did not ask security questions.
Asked security questions but did not verify the information.
Follow-Up Actions:
1st Occurrence: Reminder.
2nd Occurrence: Feedback.
3rd or More Occurrences: Manager Action.
B. Customer Service Ethos (1.14, 1.9)
Issue: Use of inappropriate or rude language.
Measurable Outputs:
Responses were offensive, impolite, or blamed the customer.
Follow-Up Actions:
Any Occurrence: Manager Action.
C. Providing Incorrect Information
Issue: Providing incorrect information (critical or non-critical).
Critical: Violation of company policies or disclosure of internal information.
Non-Critical: Information aligned with policies but irrelevant to the query.
Follow-Up Actions:
Critical: Feedback, Coaching, or Manager Action.
Non-Critical: Coaching (if root cause is related to Resolve/Inform/Enhance areas).
D. Internal Escalation Process (4.4 - 4.8)
Issue: Failure to escalate issues (e.g., VIP complaints, gambling issues, unresolved queries).
Measurable Outputs:
Did not escalate VIP complaints, gambling issues, or technical issues.
Did not record complaints or made unauthorized decisions.
Follow-Up Actions:
1st Occurrence: Reminder.
2nd Occurrence: Feedback.
3rd or More Occurrences: Manager Action or Coaching.
E. Ownership of Issues (1.6)
Issue: Ending live contact without resolving the query.
Measurable Outputs:
Chat ended without providing essential information or resolution.
Pushed the customer to another contact channel unnecessarily.
Follow-Up Actions:
1st Occurrence: Feedback.
2nd or More Occurrences: Manager Action.
3. Formal Coaching Areas
Formal coaching is applicable in the following areas:
Attitude to Service (A): Advisors not understanding their responsibilities.
Systems Use (S): Advisors not utilizing available resources effectively.
Knowledge (K): Lack of knowledge required to perform the role.
PDPs should only be created for Specific Development Need Areas.
4. Communication and Customer Interaction
A. Effective Questioning and Listening (1.3, 1.4)
Issue: Failure to ask relevant questions or confirm understanding.
Follow-Up Actions:
Coaching if root cause is related to ASK (Attitude, Systems, Knowledge).
B. Providing Clear and Concise Information (1.2, 1.16)
Issue: Information provided was unclear, irrelevant, or not tailored to the customers understanding.
Follow-Up Actions:
Coaching if root cause is related to ASK.
C. Guiding and Educating Customers (1.7, 1.12, 1.13, 3.4, 3.10)
Issue: Failure to guide or educate customers on relevant aspects of their query or account.
Follow-Up Actions:
Coaching if root cause is related to ASK.
5. Positivity and Empathy in Communication
A. Framing Messages Positively (1.9)
Issue: Failure to communicate in a positive and assertive manner.
Follow-Up Actions:
Coaching if root cause is related to ASK.
B. Demonstrating Genuine Empathy (1.5)
Issue: Lack of empathy or genuine interest in the customers issue.
Follow-Up Actions:
Coaching if root cause is related to ASK.
C. Personalised Responses (1.2)
Issue: Failure to personalise responses or address the customer by name.
Follow-Up Actions:
Coaching if root cause is related to ASK.
6. Follow-Up Actions
Reminder: For minor or first-time occurrences.
Feedback: For repeated occurrences or more significant issues.
Manager Action: For persistent or severe performance gaps.
Coaching: To address root causes related to Attitude to Service (A), Systems Use (S), or Knowledge (K).
7. Key Principles
Root Cause Analysis: All follow-up actions should be based on identifying and addressing the root cause of the performance gap.
PDPs: Should only be created for specific development areas, not general performance issues.
Referral to Supervisor: If the root cause falls outside ASK or if there are further occurrences after two PDPs.
Pretend you are a supervisor, need to draft one action plan based on above document for one advisors contact performance measurement result. The contact quality assessment has following structures, 
SCORING MATRIX
[For each item include:]
Key Area: [area name]
Criterion: [specific requirement]
Weight: [percentage]
Status: [Met/Not Met/No Chance to Demonstrate]
Evidence: [specific examples if available, some evidence is encoded in Unicode escape sequences. Need to translate into English first]
Please use above document to compose a specific development action plan, which includes:
Reason for the action [use specific evidence to explain if applicable]
Specific development need area (use job description)
Expectation
[Do not include very specific development plan, make it simple and clear]
</t>
  </si>
  <si>
    <t>Anyi Huang</t>
  </si>
  <si>
    <t>AnyiHuang</t>
  </si>
  <si>
    <t>PC Username:</t>
  </si>
  <si>
    <t>Shift:</t>
  </si>
  <si>
    <t>Team: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</si>
</sst>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400]h:mm:ss\ AM/PM"/>
    <numFmt numFmtId="165" formatCode="ddd"/>
    <numFmt numFmtId="166" formatCode="0.0000000000"/>
  </numFmts>
  <fonts count="30" x14ac:knownFonts="1">
    <font>
      <sz val="10"/>
      <color theme="1"/>
      <name val="Arial"/>
      <family val="2"/>
    </font>
    <font>
      <sz val="10"/>
      <color theme="1"/>
      <name val="Arial"/>
      <family val="2"/>
    </font>
    <font>
      <sz val="8"/>
      <color theme="1"/>
      <name val="Arial"/>
      <family val="2"/>
    </font>
    <font>
      <u/>
      <sz val="11"/>
      <color theme="10"/>
      <name val="Calibri"/>
      <family val="2"/>
      <scheme val="minor"/>
    </font>
    <font>
      <sz val="10"/>
      <color theme="0"/>
      <name val="Arial"/>
      <family val="2"/>
    </font>
    <font>
      <b/>
      <sz val="10"/>
      <color rgb="FFFA7D00"/>
      <name val="Arial"/>
      <family val="2"/>
    </font>
    <font>
      <b/>
      <sz val="10"/>
      <color theme="1"/>
      <name val="Arial"/>
      <family val="2"/>
    </font>
    <font>
      <b/>
      <sz val="10"/>
      <color theme="0"/>
      <name val="Arial"/>
      <family val="2"/>
    </font>
    <font>
      <sz val="10"/>
      <color theme="0" tint="-4.9989318521683403E-2"/>
      <name val="Arial"/>
      <family val="2"/>
    </font>
    <font>
      <sz val="11"/>
      <color theme="0" tint="-4.9989318521683403E-2"/>
      <name val="Calibri"/>
      <family val="2"/>
      <scheme val="minor"/>
    </font>
    <font>
      <u/>
      <sz val="10"/>
      <color theme="10"/>
      <name val="Arial"/>
      <family val="2"/>
    </font>
    <font>
      <sz val="10"/>
      <name val="Arial"/>
      <family val="2"/>
    </font>
    <font>
      <b/>
      <sz val="9"/>
      <color indexed="81"/>
      <name val="Tahoma"/>
      <family val="2"/>
    </font>
    <font>
      <sz val="9"/>
      <color indexed="81"/>
      <name val="Tahoma"/>
      <family val="2"/>
    </font>
    <font>
      <sz val="10.5"/>
      <color theme="1"/>
      <name val="Calibri"/>
      <family val="2"/>
    </font>
    <font>
      <sz val="10"/>
      <color theme="1"/>
      <name val="Times New Roman"/>
      <family val="1"/>
    </font>
    <font>
      <b/>
      <sz val="8"/>
      <color rgb="FF000000"/>
      <name val="Arial"/>
      <family val="2"/>
    </font>
    <font>
      <sz val="8"/>
      <color rgb="FF000000"/>
      <name val="Arial"/>
      <family val="2"/>
    </font>
    <font>
      <sz val="8"/>
      <color rgb="FF2D2D2D"/>
      <name val="Arial"/>
      <family val="2"/>
    </font>
    <font>
      <u/>
      <sz val="8"/>
      <color theme="10"/>
      <name val="Arial"/>
      <family val="2"/>
    </font>
    <font>
      <sz val="10"/>
      <color rgb="FFB9FFE9"/>
      <name val="Arial"/>
      <family val="2"/>
    </font>
    <font>
      <sz val="10"/>
      <color rgb="FF27E3A7"/>
      <name val="Arial"/>
      <family val="2"/>
    </font>
    <font>
      <b/>
      <sz val="11"/>
      <color theme="1"/>
      <name val="Calibri"/>
      <family val="2"/>
      <scheme val="minor"/>
    </font>
    <font>
      <sz val="11"/>
      <name val="Calibri"/>
      <family val="2"/>
      <scheme val="minor"/>
    </font>
    <font>
      <b/>
      <sz val="10"/>
      <name val="Arial"/>
      <family val="2"/>
    </font>
    <font>
      <sz val="11"/>
      <color theme="1"/>
      <name val="Calibri"/>
      <family val="2"/>
      <scheme val="minor"/>
    </font>
    <font>
      <u/>
      <sz val="11"/>
      <color theme="0" tint="-4.9989318521683403E-2"/>
      <name val="Calibri"/>
      <family val="2"/>
      <scheme val="minor"/>
    </font>
    <font>
      <sz val="8"/>
      <color theme="0" tint="-4.9989318521683403E-2"/>
      <name val="Arial"/>
      <family val="2"/>
    </font>
    <font>
      <sz val="8"/>
      <color rgb="FF3E3F3F"/>
      <name val="Arial"/>
      <family val="2"/>
    </font>
    <font>
      <sz val="10"/>
      <color rgb="FF3E3F3F"/>
      <name val="Arial"/>
      <family val="2"/>
    </font>
  </fonts>
  <fills count="20">
    <fill>
      <patternFill patternType="none"/>
    </fill>
    <fill>
      <patternFill patternType="gray125"/>
    </fill>
    <fill>
      <patternFill patternType="solid">
        <fgColor theme="0" tint="-4.9989318521683403E-2"/>
        <bgColor indexed="64"/>
      </patternFill>
    </fill>
    <fill>
      <patternFill patternType="solid">
        <fgColor theme="6"/>
      </patternFill>
    </fill>
    <fill>
      <patternFill patternType="solid">
        <fgColor theme="1" tint="0.499984740745262"/>
        <bgColor indexed="64"/>
      </patternFill>
    </fill>
    <fill>
      <patternFill patternType="solid">
        <fgColor theme="1" tint="0.34998626667073579"/>
        <bgColor indexed="64"/>
      </patternFill>
    </fill>
    <fill>
      <patternFill patternType="solid">
        <fgColor theme="0"/>
        <bgColor indexed="64"/>
      </patternFill>
    </fill>
    <fill>
      <patternFill patternType="solid">
        <fgColor theme="8"/>
      </patternFill>
    </fill>
    <fill>
      <patternFill patternType="solid">
        <fgColor theme="9"/>
      </patternFill>
    </fill>
    <fill>
      <patternFill patternType="solid">
        <fgColor rgb="FFF2F2F2"/>
      </patternFill>
    </fill>
    <fill>
      <patternFill patternType="solid">
        <fgColor theme="7"/>
      </patternFill>
    </fill>
    <fill>
      <patternFill patternType="solid">
        <fgColor rgb="FF644C80"/>
        <bgColor indexed="64"/>
      </patternFill>
    </fill>
    <fill>
      <patternFill patternType="solid">
        <fgColor rgb="FF399AB5"/>
        <bgColor indexed="64"/>
      </patternFill>
    </fill>
    <fill>
      <patternFill patternType="solid">
        <fgColor rgb="FFF6862A"/>
        <bgColor indexed="64"/>
      </patternFill>
    </fill>
    <fill>
      <patternFill patternType="solid">
        <fgColor rgb="FFD9D9D9"/>
        <bgColor indexed="64"/>
      </patternFill>
    </fill>
    <fill>
      <patternFill patternType="solid">
        <fgColor theme="2" tint="-0.499984740745262"/>
        <bgColor indexed="64"/>
      </patternFill>
    </fill>
    <fill>
      <patternFill patternType="solid">
        <fgColor rgb="FF3E3F3F"/>
        <bgColor indexed="64"/>
      </patternFill>
    </fill>
    <fill>
      <patternFill patternType="solid">
        <fgColor theme="4" tint="0.39997558519241921"/>
        <bgColor indexed="65"/>
      </patternFill>
    </fill>
    <fill>
      <patternFill patternType="solid">
        <fgColor theme="5" tint="0.39997558519241921"/>
        <bgColor indexed="65"/>
      </patternFill>
    </fill>
    <fill>
      <patternFill patternType="solid">
        <fgColor theme="9" tint="0.39997558519241921"/>
        <bgColor indexed="65"/>
      </patternFill>
    </fill>
  </fills>
  <borders count="72">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theme="0"/>
      </left>
      <right style="thin">
        <color theme="0"/>
      </right>
      <top style="thin">
        <color theme="0"/>
      </top>
      <bottom style="thin">
        <color theme="0"/>
      </bottom>
      <diagonal/>
    </border>
    <border>
      <left/>
      <right/>
      <top/>
      <bottom style="thin">
        <color theme="0" tint="-0.249977111117893"/>
      </bottom>
      <diagonal/>
    </border>
    <border>
      <left style="thin">
        <color rgb="FF7F7F7F"/>
      </left>
      <right style="thin">
        <color rgb="FF7F7F7F"/>
      </right>
      <top style="thin">
        <color rgb="FF7F7F7F"/>
      </top>
      <bottom style="thin">
        <color rgb="FF7F7F7F"/>
      </bottom>
      <diagonal/>
    </border>
    <border>
      <left style="thin">
        <color theme="0"/>
      </left>
      <right style="medium">
        <color indexed="64"/>
      </right>
      <top style="thin">
        <color theme="0"/>
      </top>
      <bottom style="thin">
        <color theme="0"/>
      </bottom>
      <diagonal/>
    </border>
    <border>
      <left style="medium">
        <color indexed="64"/>
      </left>
      <right style="thin">
        <color theme="0"/>
      </right>
      <top/>
      <bottom style="thin">
        <color theme="0"/>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rgb="FF7F7F7F"/>
      </bottom>
      <diagonal/>
    </border>
    <border>
      <left/>
      <right/>
      <top style="medium">
        <color indexed="64"/>
      </top>
      <bottom style="thin">
        <color rgb="FF7F7F7F"/>
      </bottom>
      <diagonal/>
    </border>
    <border>
      <left/>
      <right style="medium">
        <color indexed="64"/>
      </right>
      <top style="medium">
        <color indexed="64"/>
      </top>
      <bottom style="thin">
        <color rgb="FF7F7F7F"/>
      </bottom>
      <diagonal/>
    </border>
    <border>
      <left style="medium">
        <color indexed="64"/>
      </left>
      <right style="thin">
        <color theme="0"/>
      </right>
      <top style="thin">
        <color rgb="FF7F7F7F"/>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medium">
        <color theme="1"/>
      </left>
      <right style="medium">
        <color theme="1"/>
      </right>
      <top style="medium">
        <color theme="1"/>
      </top>
      <bottom style="medium">
        <color theme="1"/>
      </bottom>
      <diagonal/>
    </border>
    <border>
      <left style="medium">
        <color theme="1"/>
      </left>
      <right/>
      <top style="medium">
        <color theme="1"/>
      </top>
      <bottom/>
      <diagonal/>
    </border>
    <border>
      <left style="medium">
        <color theme="1"/>
      </left>
      <right/>
      <top style="medium">
        <color theme="1"/>
      </top>
      <bottom style="thin">
        <color theme="1"/>
      </bottom>
      <diagonal/>
    </border>
    <border>
      <left style="medium">
        <color theme="1"/>
      </left>
      <right style="medium">
        <color theme="1"/>
      </right>
      <top style="medium">
        <color theme="1"/>
      </top>
      <bottom style="thin">
        <color theme="1"/>
      </bottom>
      <diagonal/>
    </border>
    <border>
      <left style="medium">
        <color theme="1"/>
      </left>
      <right/>
      <top/>
      <bottom/>
      <diagonal/>
    </border>
    <border>
      <left style="medium">
        <color theme="1"/>
      </left>
      <right/>
      <top style="thin">
        <color theme="1"/>
      </top>
      <bottom/>
      <diagonal/>
    </border>
    <border>
      <left style="medium">
        <color theme="1"/>
      </left>
      <right style="medium">
        <color theme="1"/>
      </right>
      <top style="thin">
        <color theme="1"/>
      </top>
      <bottom style="medium">
        <color theme="1"/>
      </bottom>
      <diagonal/>
    </border>
    <border>
      <left style="medium">
        <color theme="1"/>
      </left>
      <right/>
      <top/>
      <bottom style="medium">
        <color theme="1"/>
      </bottom>
      <diagonal/>
    </border>
    <border>
      <left/>
      <right style="medium">
        <color theme="1"/>
      </right>
      <top style="medium">
        <color theme="1"/>
      </top>
      <bottom style="thin">
        <color theme="1"/>
      </bottom>
      <diagonal/>
    </border>
    <border>
      <left style="medium">
        <color theme="1"/>
      </left>
      <right/>
      <top style="thin">
        <color theme="1"/>
      </top>
      <bottom style="medium">
        <color theme="1"/>
      </bottom>
      <diagonal/>
    </border>
    <border>
      <left/>
      <right style="medium">
        <color theme="1"/>
      </right>
      <top style="thin">
        <color theme="1"/>
      </top>
      <bottom style="medium">
        <color theme="1"/>
      </bottom>
      <diagonal/>
    </border>
    <border>
      <left style="medium">
        <color theme="1"/>
      </left>
      <right/>
      <top style="thin">
        <color theme="1"/>
      </top>
      <bottom style="thin">
        <color theme="1"/>
      </bottom>
      <diagonal/>
    </border>
    <border>
      <left style="medium">
        <color theme="1"/>
      </left>
      <right style="medium">
        <color theme="1"/>
      </right>
      <top style="thin">
        <color theme="1"/>
      </top>
      <bottom style="thin">
        <color theme="1"/>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style="thin">
        <color theme="1"/>
      </top>
      <bottom/>
      <diagonal/>
    </border>
    <border>
      <left style="medium">
        <color theme="1"/>
      </left>
      <right style="medium">
        <color theme="1"/>
      </right>
      <top/>
      <bottom style="medium">
        <color theme="1"/>
      </bottom>
      <diagonal/>
    </border>
    <border>
      <left/>
      <right/>
      <top/>
      <bottom style="thin">
        <color theme="1"/>
      </bottom>
      <diagonal/>
    </border>
    <border>
      <left style="medium">
        <color indexed="64"/>
      </left>
      <right/>
      <top style="medium">
        <color indexed="64"/>
      </top>
      <bottom/>
      <diagonal/>
    </border>
    <border>
      <left/>
      <right style="thin">
        <color theme="0" tint="-4.9989318521683403E-2"/>
      </right>
      <top style="medium">
        <color indexed="64"/>
      </top>
      <bottom/>
      <diagonal/>
    </border>
    <border>
      <left style="thin">
        <color theme="0" tint="-4.9989318521683403E-2"/>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thin">
        <color theme="0" tint="-4.9989318521683403E-2"/>
      </right>
      <top/>
      <bottom style="medium">
        <color indexed="64"/>
      </bottom>
      <diagonal/>
    </border>
    <border>
      <left style="thin">
        <color theme="0" tint="-4.9989318521683403E-2"/>
      </left>
      <right style="thin">
        <color theme="0" tint="-4.9989318521683403E-2"/>
      </right>
      <top style="thin">
        <color theme="0" tint="-4.9989318521683403E-2"/>
      </top>
      <bottom style="medium">
        <color indexed="64"/>
      </bottom>
      <diagonal/>
    </border>
    <border>
      <left style="thin">
        <color theme="0" tint="-4.9989318521683403E-2"/>
      </left>
      <right style="medium">
        <color indexed="64"/>
      </right>
      <top style="thin">
        <color theme="0" tint="-4.9989318521683403E-2"/>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top style="thin">
        <color theme="0" tint="-4.9989318521683403E-2"/>
      </top>
      <bottom/>
      <diagonal/>
    </border>
    <border>
      <left/>
      <right/>
      <top style="thin">
        <color theme="0" tint="-4.9989318521683403E-2"/>
      </top>
      <bottom/>
      <diagonal/>
    </border>
    <border>
      <left/>
      <right style="thin">
        <color theme="0" tint="-4.9989318521683403E-2"/>
      </right>
      <top style="thin">
        <color theme="0" tint="-4.9989318521683403E-2"/>
      </top>
      <bottom/>
      <diagonal/>
    </border>
    <border>
      <left style="thin">
        <color indexed="64"/>
      </left>
      <right style="thin">
        <color theme="0" tint="-4.9989318521683403E-2"/>
      </right>
      <top style="thin">
        <color indexed="64"/>
      </top>
      <bottom style="thin">
        <color indexed="64"/>
      </bottom>
      <diagonal/>
    </border>
    <border>
      <left style="thin">
        <color theme="0" tint="-4.9989318521683403E-2"/>
      </left>
      <right style="thin">
        <color theme="0" tint="-4.9989318521683403E-2"/>
      </right>
      <top style="thin">
        <color indexed="64"/>
      </top>
      <bottom style="thin">
        <color indexed="64"/>
      </bottom>
      <diagonal/>
    </border>
    <border>
      <left style="thin">
        <color theme="0" tint="-4.9989318521683403E-2"/>
      </left>
      <right style="thin">
        <color indexed="64"/>
      </right>
      <top style="thin">
        <color indexed="64"/>
      </top>
      <bottom style="thin">
        <color indexed="64"/>
      </bottom>
      <diagonal/>
    </border>
    <border>
      <left/>
      <right/>
      <top style="thin">
        <color indexed="64"/>
      </top>
      <bottom style="thin">
        <color theme="1"/>
      </bottom>
      <diagonal/>
    </border>
    <border>
      <left/>
      <right style="thin">
        <color indexed="64"/>
      </right>
      <top style="thin">
        <color indexed="64"/>
      </top>
      <bottom/>
      <diagonal/>
    </border>
  </borders>
  <cellStyleXfs count="11">
    <xf numFmtId="0" fontId="0" fillId="0" borderId="0"/>
    <xf numFmtId="0" fontId="3" fillId="0" borderId="0" applyNumberFormat="0" applyFill="0" applyBorder="0" applyAlignment="0" applyProtection="0"/>
    <xf numFmtId="0" fontId="4" fillId="3"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5" fillId="9" borderId="6" applyNumberFormat="0" applyAlignment="0" applyProtection="0"/>
    <xf numFmtId="9" fontId="1" fillId="0" borderId="0" applyFont="0" applyFill="0" applyBorder="0" applyAlignment="0" applyProtection="0"/>
    <xf numFmtId="0" fontId="4" fillId="10" borderId="0" applyNumberFormat="0" applyBorder="0" applyAlignment="0" applyProtection="0"/>
    <xf numFmtId="0" fontId="4" fillId="17" borderId="0" applyNumberFormat="0" applyBorder="0" applyAlignment="0" applyProtection="0"/>
    <xf numFmtId="0" fontId="4" fillId="18" borderId="0" applyNumberFormat="0" applyBorder="0" applyAlignment="0" applyProtection="0"/>
    <xf numFmtId="0" fontId="4" fillId="19" borderId="0" applyNumberFormat="0" applyBorder="0" applyAlignment="0" applyProtection="0"/>
  </cellStyleXfs>
  <cellXfs count="416">
    <xf numFmtId="0" fontId="0" fillId="0" borderId="0" xfId="0"/>
    <xf numFmtId="0" fontId="0" fillId="2" borderId="0" xfId="0" applyFill="1"/>
    <xf numFmtId="0" fontId="1" fillId="2" borderId="0" xfId="0" applyFont="1" applyFill="1"/>
    <xf numFmtId="0" fontId="1" fillId="0" borderId="1" xfId="0" applyFont="1" applyBorder="1" applyAlignment="1">
      <alignment horizontal="center" vertical="center"/>
    </xf>
    <xf numFmtId="0" fontId="1" fillId="2" borderId="0" xfId="0" applyFont="1" applyFill="1" applyAlignment="1">
      <alignment horizontal="center"/>
    </xf>
    <xf numFmtId="0" fontId="1" fillId="2" borderId="0" xfId="0" applyFont="1" applyFill="1" applyAlignment="1">
      <alignment horizontal="center" vertical="center"/>
    </xf>
    <xf numFmtId="0" fontId="3" fillId="2" borderId="0" xfId="1" applyFill="1" applyBorder="1" applyAlignment="1">
      <alignment horizontal="center" vertical="center"/>
    </xf>
    <xf numFmtId="14" fontId="0" fillId="0" borderId="2" xfId="0" applyNumberFormat="1" applyBorder="1" applyAlignment="1">
      <alignment horizontal="center" vertical="center"/>
    </xf>
    <xf numFmtId="0" fontId="0" fillId="0" borderId="2" xfId="0" applyBorder="1" applyAlignment="1">
      <alignment horizontal="center" vertical="center"/>
    </xf>
    <xf numFmtId="14" fontId="0" fillId="2" borderId="0" xfId="0" applyNumberFormat="1" applyFill="1"/>
    <xf numFmtId="0" fontId="0" fillId="2" borderId="0" xfId="0" applyFill="1" applyAlignment="1">
      <alignment horizontal="center"/>
    </xf>
    <xf numFmtId="0" fontId="0" fillId="0" borderId="0" xfId="0" applyAlignment="1">
      <alignment horizontal="center" vertical="center"/>
    </xf>
    <xf numFmtId="0" fontId="0" fillId="2" borderId="0" xfId="0" applyFill="1" applyAlignment="1">
      <alignment horizontal="center" vertical="center"/>
    </xf>
    <xf numFmtId="20" fontId="0" fillId="0" borderId="0" xfId="0" applyNumberFormat="1"/>
    <xf numFmtId="164" fontId="1" fillId="2" borderId="0" xfId="0" applyNumberFormat="1" applyFont="1" applyFill="1" applyAlignment="1">
      <alignment horizontal="center"/>
    </xf>
    <xf numFmtId="14" fontId="1" fillId="2" borderId="0" xfId="0" applyNumberFormat="1" applyFont="1" applyFill="1" applyAlignment="1">
      <alignment horizontal="center"/>
    </xf>
    <xf numFmtId="14" fontId="0" fillId="2" borderId="0" xfId="0" applyNumberFormat="1" applyFill="1" applyAlignment="1">
      <alignment horizontal="center"/>
    </xf>
    <xf numFmtId="164" fontId="0" fillId="2" borderId="0" xfId="0" applyNumberFormat="1" applyFill="1" applyAlignment="1">
      <alignment horizontal="center"/>
    </xf>
    <xf numFmtId="14" fontId="0" fillId="0" borderId="0" xfId="0" applyNumberFormat="1"/>
    <xf numFmtId="14" fontId="0" fillId="0" borderId="1" xfId="0" applyNumberFormat="1" applyBorder="1" applyAlignment="1">
      <alignment horizontal="center" vertical="center"/>
    </xf>
    <xf numFmtId="0" fontId="0" fillId="6" borderId="2" xfId="0" applyFill="1" applyBorder="1" applyAlignment="1">
      <alignment horizontal="center" vertical="center"/>
    </xf>
    <xf numFmtId="14" fontId="1" fillId="2" borderId="0" xfId="0" applyNumberFormat="1" applyFont="1" applyFill="1" applyAlignment="1">
      <alignment horizontal="center" vertical="center"/>
    </xf>
    <xf numFmtId="164" fontId="1" fillId="2" borderId="0" xfId="0" applyNumberFormat="1" applyFont="1" applyFill="1" applyAlignment="1">
      <alignment horizontal="center" vertical="center"/>
    </xf>
    <xf numFmtId="14" fontId="0" fillId="2" borderId="0" xfId="0" applyNumberFormat="1" applyFill="1" applyAlignment="1">
      <alignment horizontal="center" vertical="center"/>
    </xf>
    <xf numFmtId="164" fontId="0" fillId="2" borderId="0" xfId="0" applyNumberFormat="1" applyFill="1" applyAlignment="1">
      <alignment horizontal="center" vertical="center"/>
    </xf>
    <xf numFmtId="20" fontId="1" fillId="2" borderId="0" xfId="0" applyNumberFormat="1" applyFont="1" applyFill="1" applyAlignment="1">
      <alignment horizontal="center" vertical="center"/>
    </xf>
    <xf numFmtId="0" fontId="0" fillId="2" borderId="0" xfId="0" applyFill="1" applyAlignment="1">
      <alignment horizontal="right"/>
    </xf>
    <xf numFmtId="165" fontId="4" fillId="2" borderId="0" xfId="0" applyNumberFormat="1" applyFont="1" applyFill="1" applyAlignment="1">
      <alignment horizontal="center"/>
    </xf>
    <xf numFmtId="16" fontId="4" fillId="2" borderId="0" xfId="2" applyNumberFormat="1" applyFill="1" applyBorder="1" applyAlignment="1">
      <alignment horizontal="center"/>
    </xf>
    <xf numFmtId="20" fontId="1" fillId="2" borderId="0" xfId="0" applyNumberFormat="1" applyFont="1" applyFill="1" applyAlignment="1">
      <alignment horizontal="center"/>
    </xf>
    <xf numFmtId="0" fontId="0" fillId="2" borderId="0" xfId="0" applyFill="1" applyAlignment="1">
      <alignment horizontal="center" vertical="center" wrapText="1"/>
    </xf>
    <xf numFmtId="0" fontId="0" fillId="2" borderId="0" xfId="0" applyFill="1" applyAlignment="1">
      <alignment horizontal="left"/>
    </xf>
    <xf numFmtId="164" fontId="1" fillId="2" borderId="0" xfId="0" applyNumberFormat="1" applyFont="1" applyFill="1" applyAlignment="1">
      <alignment horizontal="left"/>
    </xf>
    <xf numFmtId="0" fontId="1" fillId="2" borderId="0" xfId="0" applyFont="1" applyFill="1" applyAlignment="1">
      <alignment horizontal="left"/>
    </xf>
    <xf numFmtId="0" fontId="1" fillId="2" borderId="0" xfId="0" applyFont="1" applyFill="1" applyAlignment="1">
      <alignment horizontal="left" vertical="center"/>
    </xf>
    <xf numFmtId="14" fontId="1" fillId="2" borderId="0" xfId="0" applyNumberFormat="1" applyFont="1" applyFill="1" applyAlignment="1">
      <alignment horizontal="left" vertical="center"/>
    </xf>
    <xf numFmtId="0" fontId="0" fillId="2" borderId="0" xfId="0" applyFill="1" applyAlignment="1">
      <alignment horizontal="left" vertical="center"/>
    </xf>
    <xf numFmtId="16" fontId="4" fillId="4" borderId="4" xfId="2" applyNumberFormat="1" applyFill="1" applyBorder="1" applyAlignment="1">
      <alignment horizontal="center" vertical="center"/>
    </xf>
    <xf numFmtId="16" fontId="4" fillId="4" borderId="7" xfId="2" applyNumberFormat="1" applyFill="1" applyBorder="1" applyAlignment="1">
      <alignment horizontal="center" vertical="center"/>
    </xf>
    <xf numFmtId="165" fontId="4" fillId="5" borderId="4" xfId="0" applyNumberFormat="1" applyFont="1" applyFill="1" applyBorder="1" applyAlignment="1">
      <alignment horizontal="center" vertical="center"/>
    </xf>
    <xf numFmtId="165" fontId="4" fillId="5" borderId="7" xfId="0" applyNumberFormat="1" applyFont="1" applyFill="1" applyBorder="1" applyAlignment="1">
      <alignment horizontal="center" vertical="center"/>
    </xf>
    <xf numFmtId="0" fontId="1" fillId="6" borderId="3" xfId="0" applyFont="1" applyFill="1" applyBorder="1" applyAlignment="1">
      <alignment horizontal="center" vertical="center"/>
    </xf>
    <xf numFmtId="0" fontId="0" fillId="6" borderId="3" xfId="0" applyFill="1" applyBorder="1" applyAlignment="1">
      <alignment horizontal="center" vertical="center"/>
    </xf>
    <xf numFmtId="0" fontId="0" fillId="6" borderId="9" xfId="0" applyFill="1" applyBorder="1" applyAlignment="1">
      <alignment horizontal="center" vertical="center"/>
    </xf>
    <xf numFmtId="0" fontId="1" fillId="6" borderId="2" xfId="0" applyFont="1" applyFill="1" applyBorder="1" applyAlignment="1">
      <alignment horizontal="center" vertical="center"/>
    </xf>
    <xf numFmtId="0" fontId="0" fillId="6" borderId="11" xfId="0" applyFill="1" applyBorder="1" applyAlignment="1">
      <alignment horizontal="center" vertical="center"/>
    </xf>
    <xf numFmtId="0" fontId="0" fillId="6" borderId="13" xfId="0" applyFill="1" applyBorder="1" applyAlignment="1">
      <alignment horizontal="center" vertical="center"/>
    </xf>
    <xf numFmtId="0" fontId="0" fillId="6" borderId="14" xfId="0" applyFill="1" applyBorder="1" applyAlignment="1">
      <alignment horizontal="center" vertical="center"/>
    </xf>
    <xf numFmtId="164" fontId="8" fillId="2" borderId="0" xfId="0" applyNumberFormat="1" applyFont="1" applyFill="1" applyAlignment="1">
      <alignment horizontal="center"/>
    </xf>
    <xf numFmtId="0" fontId="8" fillId="2" borderId="0" xfId="0" applyFont="1" applyFill="1" applyAlignment="1">
      <alignment horizontal="center"/>
    </xf>
    <xf numFmtId="20" fontId="8" fillId="2" borderId="0" xfId="0" applyNumberFormat="1" applyFont="1" applyFill="1" applyAlignment="1">
      <alignment horizontal="center" vertical="center"/>
    </xf>
    <xf numFmtId="0" fontId="8" fillId="2" borderId="0" xfId="0" applyFont="1" applyFill="1"/>
    <xf numFmtId="2" fontId="1" fillId="2" borderId="0" xfId="0" applyNumberFormat="1" applyFont="1" applyFill="1" applyAlignment="1">
      <alignment horizontal="center"/>
    </xf>
    <xf numFmtId="9" fontId="1" fillId="2" borderId="0" xfId="6" applyFont="1" applyFill="1" applyAlignment="1">
      <alignment horizontal="center"/>
    </xf>
    <xf numFmtId="0" fontId="6" fillId="2" borderId="2" xfId="0" applyFont="1" applyFill="1" applyBorder="1" applyAlignment="1">
      <alignment horizontal="center"/>
    </xf>
    <xf numFmtId="2" fontId="6" fillId="2" borderId="2" xfId="0" applyNumberFormat="1" applyFont="1" applyFill="1" applyBorder="1" applyAlignment="1">
      <alignment horizontal="center"/>
    </xf>
    <xf numFmtId="9" fontId="6" fillId="2" borderId="2" xfId="6" applyFont="1" applyFill="1" applyBorder="1" applyAlignment="1">
      <alignment horizontal="center"/>
    </xf>
    <xf numFmtId="0" fontId="1" fillId="0" borderId="19" xfId="0" applyFont="1" applyBorder="1" applyAlignment="1">
      <alignment horizontal="center" vertical="center"/>
    </xf>
    <xf numFmtId="0" fontId="9" fillId="2" borderId="0" xfId="0" applyFont="1" applyFill="1"/>
    <xf numFmtId="0" fontId="4" fillId="11" borderId="21" xfId="7" applyFill="1" applyBorder="1"/>
    <xf numFmtId="1" fontId="1" fillId="0" borderId="22" xfId="6" applyNumberFormat="1" applyFont="1" applyBorder="1" applyAlignment="1">
      <alignment horizontal="center" vertical="center"/>
    </xf>
    <xf numFmtId="0" fontId="4" fillId="12" borderId="21" xfId="3" applyFill="1" applyBorder="1"/>
    <xf numFmtId="0" fontId="4" fillId="13" borderId="21" xfId="4" applyFill="1" applyBorder="1"/>
    <xf numFmtId="0" fontId="4" fillId="11" borderId="2" xfId="7" applyFill="1" applyBorder="1"/>
    <xf numFmtId="2" fontId="1" fillId="0" borderId="11" xfId="0" applyNumberFormat="1" applyFont="1" applyBorder="1" applyAlignment="1">
      <alignment horizontal="center" vertical="center"/>
    </xf>
    <xf numFmtId="0" fontId="4" fillId="12" borderId="2" xfId="3" applyFill="1" applyBorder="1"/>
    <xf numFmtId="0" fontId="4" fillId="13" borderId="2" xfId="4" applyFill="1" applyBorder="1"/>
    <xf numFmtId="2" fontId="1" fillId="0" borderId="11" xfId="6" applyNumberFormat="1" applyFont="1" applyBorder="1" applyAlignment="1">
      <alignment horizontal="center" vertical="center"/>
    </xf>
    <xf numFmtId="9" fontId="1" fillId="0" borderId="11" xfId="6" applyFont="1" applyBorder="1" applyAlignment="1">
      <alignment horizontal="center" vertical="center"/>
    </xf>
    <xf numFmtId="1" fontId="1" fillId="0" borderId="11" xfId="6" applyNumberFormat="1" applyFont="1" applyBorder="1" applyAlignment="1">
      <alignment horizontal="center" vertical="center"/>
    </xf>
    <xf numFmtId="0" fontId="4" fillId="11" borderId="13" xfId="7" applyFill="1" applyBorder="1"/>
    <xf numFmtId="1" fontId="1" fillId="0" borderId="14" xfId="6" applyNumberFormat="1" applyFont="1" applyBorder="1" applyAlignment="1">
      <alignment horizontal="center" vertical="center"/>
    </xf>
    <xf numFmtId="0" fontId="4" fillId="12" borderId="13" xfId="3" applyFill="1" applyBorder="1"/>
    <xf numFmtId="0" fontId="4" fillId="13" borderId="13" xfId="4" applyFill="1" applyBorder="1"/>
    <xf numFmtId="2" fontId="1" fillId="0" borderId="25" xfId="6" applyNumberFormat="1" applyFont="1" applyBorder="1" applyAlignment="1">
      <alignment horizontal="center" vertical="center"/>
    </xf>
    <xf numFmtId="0" fontId="1" fillId="0" borderId="21" xfId="0" applyFont="1" applyBorder="1" applyAlignment="1">
      <alignment horizontal="center" vertical="center"/>
    </xf>
    <xf numFmtId="9" fontId="1" fillId="0" borderId="22" xfId="6" applyFont="1" applyBorder="1" applyAlignment="1">
      <alignment horizontal="center" vertical="center"/>
    </xf>
    <xf numFmtId="0" fontId="1" fillId="0" borderId="2" xfId="0" applyFont="1" applyBorder="1" applyAlignment="1">
      <alignment horizontal="center" vertical="center"/>
    </xf>
    <xf numFmtId="0" fontId="1" fillId="0" borderId="13" xfId="0" applyFont="1" applyBorder="1" applyAlignment="1">
      <alignment horizontal="center" vertical="center"/>
    </xf>
    <xf numFmtId="9" fontId="1" fillId="0" borderId="14" xfId="6" applyFont="1" applyBorder="1" applyAlignment="1">
      <alignment horizontal="center" vertical="center"/>
    </xf>
    <xf numFmtId="0" fontId="0" fillId="6" borderId="1" xfId="0" applyFill="1" applyBorder="1" applyAlignment="1">
      <alignment horizontal="center" vertical="center"/>
    </xf>
    <xf numFmtId="0" fontId="10" fillId="2" borderId="0" xfId="1" applyFont="1" applyFill="1" applyAlignment="1">
      <alignment horizontal="center"/>
    </xf>
    <xf numFmtId="0" fontId="0" fillId="0" borderId="1" xfId="0" applyBorder="1" applyAlignment="1">
      <alignment horizontal="center" vertical="center"/>
    </xf>
    <xf numFmtId="0" fontId="0" fillId="0" borderId="22" xfId="0" applyBorder="1" applyAlignment="1">
      <alignment vertical="center" wrapText="1"/>
    </xf>
    <xf numFmtId="0" fontId="0" fillId="0" borderId="11" xfId="0" applyBorder="1" applyAlignment="1">
      <alignment vertical="center" wrapText="1"/>
    </xf>
    <xf numFmtId="0" fontId="11" fillId="0" borderId="26" xfId="0" applyFont="1" applyBorder="1" applyAlignment="1">
      <alignment wrapText="1"/>
    </xf>
    <xf numFmtId="0" fontId="11" fillId="0" borderId="22" xfId="0" applyFont="1" applyBorder="1" applyAlignment="1">
      <alignment vertical="center" wrapText="1"/>
    </xf>
    <xf numFmtId="0" fontId="0" fillId="0" borderId="14" xfId="0" applyBorder="1" applyAlignment="1">
      <alignment vertical="center" wrapText="1"/>
    </xf>
    <xf numFmtId="0" fontId="0" fillId="0" borderId="2" xfId="0" applyBorder="1" applyAlignment="1">
      <alignment vertical="center" wrapText="1"/>
    </xf>
    <xf numFmtId="0" fontId="11" fillId="0" borderId="2" xfId="0" applyFont="1" applyBorder="1" applyAlignment="1">
      <alignment vertical="center" wrapText="1"/>
    </xf>
    <xf numFmtId="0" fontId="0" fillId="0" borderId="2" xfId="0" applyBorder="1" applyAlignment="1">
      <alignment vertical="center"/>
    </xf>
    <xf numFmtId="0" fontId="3" fillId="2" borderId="1" xfId="1" applyFill="1" applyBorder="1" applyAlignment="1">
      <alignment horizontal="center" vertical="center"/>
    </xf>
    <xf numFmtId="14" fontId="6" fillId="0" borderId="2" xfId="0" applyNumberFormat="1" applyFont="1" applyBorder="1" applyAlignment="1">
      <alignment horizontal="center" vertical="center"/>
    </xf>
    <xf numFmtId="0" fontId="6" fillId="0" borderId="2" xfId="0" applyFont="1" applyBorder="1" applyAlignment="1">
      <alignment horizontal="center" vertical="center"/>
    </xf>
    <xf numFmtId="20" fontId="1" fillId="6" borderId="27" xfId="0" applyNumberFormat="1" applyFont="1" applyFill="1" applyBorder="1" applyAlignment="1">
      <alignment horizontal="center" vertical="center"/>
    </xf>
    <xf numFmtId="20" fontId="1" fillId="6" borderId="10" xfId="0" applyNumberFormat="1" applyFont="1" applyFill="1" applyBorder="1" applyAlignment="1">
      <alignment horizontal="center"/>
    </xf>
    <xf numFmtId="20" fontId="1" fillId="6" borderId="10" xfId="0" applyNumberFormat="1" applyFont="1" applyFill="1" applyBorder="1" applyAlignment="1">
      <alignment horizontal="center" vertical="center"/>
    </xf>
    <xf numFmtId="20" fontId="1" fillId="6" borderId="12" xfId="0" applyNumberFormat="1" applyFont="1" applyFill="1" applyBorder="1" applyAlignment="1">
      <alignment horizontal="center"/>
    </xf>
    <xf numFmtId="0" fontId="0" fillId="6" borderId="19" xfId="0" applyFill="1" applyBorder="1" applyAlignment="1">
      <alignment horizontal="center" vertical="center"/>
    </xf>
    <xf numFmtId="0" fontId="3" fillId="2" borderId="0" xfId="1" applyFill="1" applyAlignment="1">
      <alignment horizontal="center"/>
    </xf>
    <xf numFmtId="49" fontId="0" fillId="6" borderId="5" xfId="0" applyNumberFormat="1" applyFill="1" applyBorder="1" applyAlignment="1">
      <alignment horizontal="center" vertical="center"/>
    </xf>
    <xf numFmtId="0" fontId="14" fillId="0" borderId="28" xfId="0" applyFont="1" applyBorder="1" applyAlignment="1">
      <alignment vertical="center" wrapText="1"/>
    </xf>
    <xf numFmtId="0" fontId="14" fillId="0" borderId="0" xfId="0" applyFont="1"/>
    <xf numFmtId="0" fontId="10" fillId="2" borderId="0" xfId="1" applyFont="1" applyFill="1" applyBorder="1" applyAlignment="1">
      <alignment horizontal="center" vertical="center"/>
    </xf>
    <xf numFmtId="0" fontId="0" fillId="2" borderId="29" xfId="0" applyFill="1" applyBorder="1"/>
    <xf numFmtId="0" fontId="4" fillId="2" borderId="0" xfId="0" applyFont="1" applyFill="1" applyAlignment="1">
      <alignment horizontal="center" vertical="center"/>
    </xf>
    <xf numFmtId="0" fontId="0" fillId="0" borderId="19" xfId="0" applyBorder="1" applyAlignment="1">
      <alignment horizontal="center" vertical="center"/>
    </xf>
    <xf numFmtId="0" fontId="0" fillId="2" borderId="0" xfId="0" applyFill="1" applyAlignment="1">
      <alignment vertical="top"/>
    </xf>
    <xf numFmtId="0" fontId="0" fillId="2" borderId="0" xfId="0" applyFill="1" applyAlignment="1">
      <alignment horizontal="center" vertical="top"/>
    </xf>
    <xf numFmtId="0" fontId="1" fillId="2" borderId="29" xfId="0" applyFont="1" applyFill="1" applyBorder="1"/>
    <xf numFmtId="0" fontId="0" fillId="2" borderId="29" xfId="0" applyFill="1" applyBorder="1" applyAlignment="1">
      <alignment horizontal="center" vertical="top"/>
    </xf>
    <xf numFmtId="14" fontId="1" fillId="0" borderId="19" xfId="0" applyNumberFormat="1" applyFont="1" applyBorder="1" applyAlignment="1">
      <alignment horizontal="center" vertical="center"/>
    </xf>
    <xf numFmtId="2" fontId="0" fillId="0" borderId="0" xfId="0" applyNumberFormat="1"/>
    <xf numFmtId="49" fontId="0" fillId="0" borderId="0" xfId="0" applyNumberFormat="1"/>
    <xf numFmtId="0" fontId="17" fillId="0" borderId="2" xfId="0" applyFont="1" applyBorder="1" applyAlignment="1">
      <alignment vertical="center"/>
    </xf>
    <xf numFmtId="0" fontId="18" fillId="0" borderId="2" xfId="0" applyFont="1" applyBorder="1" applyAlignment="1">
      <alignment horizontal="center" vertical="center"/>
    </xf>
    <xf numFmtId="14" fontId="17" fillId="0" borderId="2" xfId="0" applyNumberFormat="1" applyFont="1" applyBorder="1" applyAlignment="1">
      <alignment horizontal="center" vertical="center"/>
    </xf>
    <xf numFmtId="0" fontId="17" fillId="0" borderId="2" xfId="0" applyFont="1" applyBorder="1" applyAlignment="1">
      <alignment horizontal="center" vertical="center"/>
    </xf>
    <xf numFmtId="0" fontId="2" fillId="0" borderId="0" xfId="0" applyFont="1"/>
    <xf numFmtId="1" fontId="0" fillId="2" borderId="0" xfId="0" applyNumberFormat="1" applyFill="1" applyAlignment="1">
      <alignment horizontal="center"/>
    </xf>
    <xf numFmtId="1" fontId="0" fillId="2" borderId="0" xfId="0" applyNumberFormat="1" applyFill="1" applyAlignment="1">
      <alignment horizontal="left"/>
    </xf>
    <xf numFmtId="0" fontId="15" fillId="0" borderId="2" xfId="0" applyFont="1" applyBorder="1" applyAlignment="1">
      <alignment vertical="center" wrapText="1"/>
    </xf>
    <xf numFmtId="0" fontId="0" fillId="0" borderId="2" xfId="0" applyBorder="1"/>
    <xf numFmtId="0" fontId="16" fillId="0" borderId="2" xfId="0" applyFont="1" applyBorder="1" applyAlignment="1">
      <alignment vertical="top" wrapText="1"/>
    </xf>
    <xf numFmtId="0" fontId="15" fillId="0" borderId="31" xfId="0" applyFont="1" applyBorder="1" applyAlignment="1">
      <alignment vertical="center" wrapText="1"/>
    </xf>
    <xf numFmtId="14" fontId="0" fillId="6" borderId="1" xfId="0" applyNumberFormat="1" applyFill="1" applyBorder="1" applyAlignment="1">
      <alignment horizontal="center" vertical="center"/>
    </xf>
    <xf numFmtId="164" fontId="2" fillId="16" borderId="0" xfId="0" applyNumberFormat="1" applyFont="1" applyFill="1" applyAlignment="1">
      <alignment horizontal="center" vertical="center"/>
    </xf>
    <xf numFmtId="0" fontId="2" fillId="16" borderId="0" xfId="0" applyFont="1" applyFill="1" applyAlignment="1">
      <alignment horizontal="center" vertical="center"/>
    </xf>
    <xf numFmtId="0" fontId="0" fillId="0" borderId="33" xfId="0" applyBorder="1" applyAlignment="1">
      <alignment horizontal="center" vertical="center" wrapText="1"/>
    </xf>
    <xf numFmtId="0" fontId="0" fillId="0" borderId="36" xfId="0" applyBorder="1" applyAlignment="1">
      <alignment horizontal="left" vertical="center" wrapText="1"/>
    </xf>
    <xf numFmtId="0" fontId="0" fillId="0" borderId="39" xfId="0" applyBorder="1" applyAlignment="1">
      <alignment horizontal="left" vertical="center" wrapText="1"/>
    </xf>
    <xf numFmtId="0" fontId="0" fillId="0" borderId="33" xfId="0" applyBorder="1" applyAlignment="1">
      <alignment horizontal="left" vertical="center" wrapText="1"/>
    </xf>
    <xf numFmtId="0" fontId="0" fillId="0" borderId="0" xfId="0" applyAlignment="1">
      <alignment horizontal="left" vertical="center" wrapText="1"/>
    </xf>
    <xf numFmtId="0" fontId="0" fillId="0" borderId="35" xfId="0" applyBorder="1" applyAlignment="1">
      <alignment horizontal="left" vertical="center" wrapText="1"/>
    </xf>
    <xf numFmtId="0" fontId="0" fillId="0" borderId="41" xfId="0" applyBorder="1" applyAlignment="1">
      <alignment horizontal="left" vertical="center" wrapText="1"/>
    </xf>
    <xf numFmtId="0" fontId="0" fillId="0" borderId="42" xfId="0" applyBorder="1" applyAlignment="1">
      <alignment horizontal="left" vertical="center" wrapText="1"/>
    </xf>
    <xf numFmtId="0" fontId="0" fillId="0" borderId="43" xfId="0" applyBorder="1" applyAlignment="1">
      <alignment horizontal="left" vertical="center" wrapText="1"/>
    </xf>
    <xf numFmtId="0" fontId="0" fillId="0" borderId="45" xfId="0" applyBorder="1" applyAlignment="1">
      <alignment horizontal="left" vertical="center" wrapText="1"/>
    </xf>
    <xf numFmtId="0" fontId="0" fillId="0" borderId="44" xfId="0" applyBorder="1" applyAlignment="1">
      <alignment horizontal="left" vertical="center" wrapText="1"/>
    </xf>
    <xf numFmtId="0" fontId="0" fillId="0" borderId="50" xfId="0" applyBorder="1" applyAlignment="1">
      <alignment horizontal="center" vertical="center"/>
    </xf>
    <xf numFmtId="1" fontId="2" fillId="16" borderId="0" xfId="0" applyNumberFormat="1" applyFont="1" applyFill="1" applyAlignment="1">
      <alignment horizontal="center" vertical="center"/>
    </xf>
    <xf numFmtId="14" fontId="2" fillId="16" borderId="0" xfId="0" applyNumberFormat="1" applyFont="1" applyFill="1" applyAlignment="1">
      <alignment horizontal="center" vertical="center"/>
    </xf>
    <xf numFmtId="0" fontId="1" fillId="16" borderId="0" xfId="0" applyFont="1" applyFill="1" applyAlignment="1">
      <alignment horizontal="center" vertical="center"/>
    </xf>
    <xf numFmtId="0" fontId="8" fillId="16" borderId="0" xfId="0" applyFont="1" applyFill="1" applyAlignment="1">
      <alignment horizontal="center" vertical="center"/>
    </xf>
    <xf numFmtId="0" fontId="21" fillId="16" borderId="0" xfId="0" applyFont="1" applyFill="1" applyAlignment="1">
      <alignment horizontal="center" vertical="center"/>
    </xf>
    <xf numFmtId="2" fontId="21" fillId="16" borderId="0" xfId="0" applyNumberFormat="1" applyFont="1" applyFill="1" applyAlignment="1">
      <alignment horizontal="center" vertical="center"/>
    </xf>
    <xf numFmtId="9" fontId="1" fillId="16" borderId="0" xfId="6" applyFont="1" applyFill="1" applyBorder="1" applyAlignment="1">
      <alignment horizontal="center" vertical="center"/>
    </xf>
    <xf numFmtId="0" fontId="2" fillId="16" borderId="0" xfId="0" applyFont="1" applyFill="1" applyAlignment="1">
      <alignment horizontal="center" vertical="center" wrapText="1"/>
    </xf>
    <xf numFmtId="0" fontId="0" fillId="2" borderId="0" xfId="0" applyFill="1" applyAlignment="1">
      <alignment horizontal="center" wrapText="1"/>
    </xf>
    <xf numFmtId="0" fontId="0" fillId="2" borderId="0" xfId="0" applyFill="1" applyAlignment="1">
      <alignment wrapText="1"/>
    </xf>
    <xf numFmtId="164" fontId="1" fillId="2" borderId="0" xfId="0" applyNumberFormat="1" applyFont="1" applyFill="1" applyAlignment="1">
      <alignment horizontal="left" wrapText="1"/>
    </xf>
    <xf numFmtId="0" fontId="0" fillId="2" borderId="0" xfId="0" applyFill="1" applyAlignment="1">
      <alignment horizontal="left" wrapText="1"/>
    </xf>
    <xf numFmtId="0" fontId="1" fillId="2" borderId="0" xfId="0" applyFont="1" applyFill="1" applyAlignment="1">
      <alignment horizontal="left" wrapText="1"/>
    </xf>
    <xf numFmtId="0" fontId="1" fillId="2" borderId="0" xfId="0" applyFont="1" applyFill="1" applyAlignment="1">
      <alignment horizontal="center" wrapText="1"/>
    </xf>
    <xf numFmtId="0" fontId="1" fillId="2" borderId="0" xfId="0" applyFont="1" applyFill="1" applyAlignment="1">
      <alignment wrapText="1"/>
    </xf>
    <xf numFmtId="20" fontId="1" fillId="2" borderId="0" xfId="0" applyNumberFormat="1" applyFont="1" applyFill="1" applyAlignment="1">
      <alignment horizontal="center" vertical="center" wrapText="1"/>
    </xf>
    <xf numFmtId="0" fontId="1" fillId="2" borderId="0" xfId="0" applyFont="1" applyFill="1" applyAlignment="1">
      <alignment horizontal="center" vertical="center" wrapText="1"/>
    </xf>
    <xf numFmtId="0" fontId="4" fillId="2" borderId="0" xfId="3" applyFill="1" applyBorder="1" applyAlignment="1">
      <alignment horizontal="center" vertical="center" wrapText="1"/>
    </xf>
    <xf numFmtId="164" fontId="0" fillId="6" borderId="2" xfId="0" applyNumberFormat="1" applyFill="1" applyBorder="1" applyAlignment="1">
      <alignment horizontal="center" vertical="center"/>
    </xf>
    <xf numFmtId="164" fontId="0" fillId="0" borderId="2" xfId="0" applyNumberFormat="1" applyBorder="1" applyAlignment="1">
      <alignment horizontal="center"/>
    </xf>
    <xf numFmtId="164" fontId="0" fillId="6" borderId="21" xfId="0" applyNumberFormat="1" applyFill="1" applyBorder="1" applyAlignment="1">
      <alignment horizontal="center" vertical="center"/>
    </xf>
    <xf numFmtId="164" fontId="0" fillId="6" borderId="13" xfId="0" applyNumberFormat="1" applyFill="1" applyBorder="1" applyAlignment="1">
      <alignment horizontal="center"/>
    </xf>
    <xf numFmtId="164" fontId="0" fillId="0" borderId="21" xfId="0" applyNumberFormat="1" applyBorder="1" applyAlignment="1">
      <alignment horizontal="center"/>
    </xf>
    <xf numFmtId="164" fontId="0" fillId="0" borderId="13" xfId="0" applyNumberFormat="1" applyBorder="1" applyAlignment="1">
      <alignment horizontal="center"/>
    </xf>
    <xf numFmtId="0" fontId="20" fillId="16" borderId="57" xfId="0" applyFont="1" applyFill="1" applyBorder="1" applyAlignment="1">
      <alignment horizontal="center" vertical="center" wrapText="1"/>
    </xf>
    <xf numFmtId="0" fontId="20" fillId="16" borderId="58" xfId="0" applyFont="1" applyFill="1" applyBorder="1" applyAlignment="1">
      <alignment horizontal="center" vertical="center" wrapText="1"/>
    </xf>
    <xf numFmtId="1" fontId="22" fillId="0" borderId="0" xfId="0" applyNumberFormat="1" applyFont="1"/>
    <xf numFmtId="49" fontId="22" fillId="0" borderId="0" xfId="0" applyNumberFormat="1" applyFont="1" applyAlignment="1">
      <alignment horizontal="center" vertical="center"/>
    </xf>
    <xf numFmtId="0" fontId="22" fillId="0" borderId="0" xfId="0" applyFont="1" applyAlignment="1">
      <alignment horizontal="center" vertical="center"/>
    </xf>
    <xf numFmtId="2" fontId="22" fillId="0" borderId="0" xfId="0" applyNumberFormat="1" applyFont="1" applyAlignment="1">
      <alignment horizontal="center" vertical="center"/>
    </xf>
    <xf numFmtId="49" fontId="22" fillId="0" borderId="0" xfId="0" applyNumberFormat="1" applyFont="1"/>
    <xf numFmtId="2" fontId="22" fillId="0" borderId="0" xfId="0" applyNumberFormat="1" applyFont="1"/>
    <xf numFmtId="0" fontId="22" fillId="0" borderId="0" xfId="0" applyFont="1"/>
    <xf numFmtId="2" fontId="1" fillId="2" borderId="0" xfId="6" applyNumberFormat="1" applyFont="1" applyFill="1" applyBorder="1" applyAlignment="1">
      <alignment horizontal="center" vertical="center"/>
    </xf>
    <xf numFmtId="9" fontId="1" fillId="2" borderId="0" xfId="6" applyFont="1" applyFill="1" applyBorder="1" applyAlignment="1">
      <alignment horizontal="center" vertical="center"/>
    </xf>
    <xf numFmtId="0" fontId="1" fillId="0" borderId="22" xfId="0" applyFont="1" applyBorder="1" applyAlignment="1">
      <alignment horizontal="center" vertical="center"/>
    </xf>
    <xf numFmtId="0" fontId="1" fillId="0" borderId="11" xfId="0" applyFont="1" applyBorder="1" applyAlignment="1">
      <alignment horizontal="center" vertical="center"/>
    </xf>
    <xf numFmtId="0" fontId="1" fillId="0" borderId="14" xfId="0" applyFont="1" applyBorder="1" applyAlignment="1">
      <alignment horizontal="center" vertical="center"/>
    </xf>
    <xf numFmtId="0" fontId="4" fillId="19" borderId="12" xfId="10" applyBorder="1" applyAlignment="1">
      <alignment horizontal="center" vertical="center" wrapText="1"/>
    </xf>
    <xf numFmtId="0" fontId="4" fillId="18" borderId="20" xfId="9" applyBorder="1" applyAlignment="1">
      <alignment horizontal="center" vertical="center" wrapText="1"/>
    </xf>
    <xf numFmtId="0" fontId="4" fillId="17" borderId="10" xfId="8" applyBorder="1" applyAlignment="1">
      <alignment horizontal="center" vertical="center" wrapText="1"/>
    </xf>
    <xf numFmtId="9" fontId="21" fillId="16" borderId="0" xfId="0" applyNumberFormat="1" applyFont="1" applyFill="1" applyAlignment="1">
      <alignment horizontal="center" vertical="center"/>
    </xf>
    <xf numFmtId="9" fontId="6" fillId="2" borderId="2" xfId="0" applyNumberFormat="1" applyFont="1" applyFill="1" applyBorder="1" applyAlignment="1">
      <alignment horizontal="center"/>
    </xf>
    <xf numFmtId="9" fontId="1" fillId="2" borderId="0" xfId="0" applyNumberFormat="1" applyFont="1" applyFill="1" applyAlignment="1">
      <alignment horizontal="center"/>
    </xf>
    <xf numFmtId="0" fontId="23" fillId="2" borderId="0" xfId="1" applyNumberFormat="1" applyFont="1" applyFill="1" applyAlignment="1">
      <alignment horizontal="center"/>
    </xf>
    <xf numFmtId="0" fontId="11" fillId="16" borderId="0" xfId="0" applyFont="1" applyFill="1" applyAlignment="1">
      <alignment horizontal="center" vertical="center"/>
    </xf>
    <xf numFmtId="0" fontId="11" fillId="2" borderId="0" xfId="0" applyFont="1" applyFill="1" applyAlignment="1">
      <alignment horizontal="center"/>
    </xf>
    <xf numFmtId="0" fontId="24" fillId="2" borderId="2" xfId="0" applyFont="1" applyFill="1" applyBorder="1" applyAlignment="1">
      <alignment horizontal="center"/>
    </xf>
    <xf numFmtId="0" fontId="11" fillId="2" borderId="0" xfId="1" applyNumberFormat="1" applyFont="1" applyFill="1" applyAlignment="1">
      <alignment horizontal="center"/>
    </xf>
    <xf numFmtId="0" fontId="25" fillId="0" borderId="0" xfId="0" applyFont="1" applyAlignment="1">
      <alignment horizontal="center" vertical="center"/>
    </xf>
    <xf numFmtId="49" fontId="25" fillId="0" borderId="0" xfId="0" applyNumberFormat="1" applyFont="1" applyAlignment="1">
      <alignment horizontal="center" vertical="center"/>
    </xf>
    <xf numFmtId="49" fontId="25" fillId="0" borderId="0" xfId="0" applyNumberFormat="1" applyFont="1"/>
    <xf numFmtId="2" fontId="25" fillId="0" borderId="0" xfId="0" applyNumberFormat="1" applyFont="1"/>
    <xf numFmtId="164" fontId="0" fillId="0" borderId="21" xfId="0" applyNumberFormat="1" applyBorder="1" applyAlignment="1">
      <alignment horizontal="center" vertical="center"/>
    </xf>
    <xf numFmtId="164" fontId="0" fillId="0" borderId="2" xfId="0" applyNumberFormat="1" applyBorder="1" applyAlignment="1">
      <alignment horizontal="center" vertical="center"/>
    </xf>
    <xf numFmtId="164" fontId="0" fillId="0" borderId="13" xfId="0" applyNumberFormat="1" applyBorder="1" applyAlignment="1">
      <alignment horizontal="center" vertical="center"/>
    </xf>
    <xf numFmtId="0" fontId="1" fillId="2" borderId="0" xfId="0" applyFont="1" applyFill="1" applyAlignment="1">
      <alignment horizontal="left" vertical="center" wrapText="1"/>
    </xf>
    <xf numFmtId="164" fontId="0" fillId="6" borderId="61" xfId="0" applyNumberFormat="1" applyFill="1" applyBorder="1" applyAlignment="1">
      <alignment horizontal="center" vertical="center"/>
    </xf>
    <xf numFmtId="164" fontId="0" fillId="6" borderId="30" xfId="0" applyNumberFormat="1" applyFill="1" applyBorder="1" applyAlignment="1">
      <alignment horizontal="center" vertical="center"/>
    </xf>
    <xf numFmtId="164" fontId="0" fillId="6" borderId="62" xfId="0" applyNumberFormat="1" applyFill="1" applyBorder="1" applyAlignment="1">
      <alignment horizontal="center"/>
    </xf>
    <xf numFmtId="0" fontId="20" fillId="16" borderId="63" xfId="0" applyFont="1" applyFill="1" applyBorder="1" applyAlignment="1">
      <alignment horizontal="center" vertical="center" wrapText="1"/>
    </xf>
    <xf numFmtId="164" fontId="0" fillId="0" borderId="61" xfId="0" applyNumberFormat="1" applyBorder="1" applyAlignment="1">
      <alignment horizontal="center"/>
    </xf>
    <xf numFmtId="164" fontId="0" fillId="0" borderId="62" xfId="0" applyNumberFormat="1" applyBorder="1" applyAlignment="1">
      <alignment horizontal="center"/>
    </xf>
    <xf numFmtId="10" fontId="0" fillId="0" borderId="20" xfId="6" applyNumberFormat="1" applyFont="1" applyFill="1" applyBorder="1" applyAlignment="1">
      <alignment horizontal="center" wrapText="1"/>
    </xf>
    <xf numFmtId="10" fontId="0" fillId="0" borderId="21" xfId="6" applyNumberFormat="1" applyFont="1" applyFill="1" applyBorder="1" applyAlignment="1">
      <alignment horizontal="center" wrapText="1"/>
    </xf>
    <xf numFmtId="10" fontId="0" fillId="0" borderId="22" xfId="6" applyNumberFormat="1" applyFont="1" applyFill="1" applyBorder="1" applyAlignment="1">
      <alignment horizontal="center" wrapText="1"/>
    </xf>
    <xf numFmtId="10" fontId="0" fillId="0" borderId="12" xfId="6" applyNumberFormat="1" applyFont="1" applyFill="1" applyBorder="1" applyAlignment="1">
      <alignment horizontal="center" wrapText="1"/>
    </xf>
    <xf numFmtId="10" fontId="0" fillId="0" borderId="13" xfId="6" applyNumberFormat="1" applyFont="1" applyFill="1" applyBorder="1" applyAlignment="1">
      <alignment horizontal="center" wrapText="1"/>
    </xf>
    <xf numFmtId="10" fontId="0" fillId="0" borderId="14" xfId="6" applyNumberFormat="1" applyFont="1" applyFill="1" applyBorder="1" applyAlignment="1">
      <alignment horizontal="center" wrapText="1"/>
    </xf>
    <xf numFmtId="10" fontId="1" fillId="6" borderId="20" xfId="6" applyNumberFormat="1" applyFont="1" applyFill="1" applyBorder="1" applyAlignment="1">
      <alignment horizontal="center" vertical="center" wrapText="1"/>
    </xf>
    <xf numFmtId="10" fontId="1" fillId="6" borderId="21" xfId="6" applyNumberFormat="1" applyFont="1" applyFill="1" applyBorder="1" applyAlignment="1">
      <alignment horizontal="center" vertical="center" wrapText="1"/>
    </xf>
    <xf numFmtId="10" fontId="1" fillId="6" borderId="22" xfId="6" applyNumberFormat="1" applyFont="1" applyFill="1" applyBorder="1" applyAlignment="1">
      <alignment horizontal="center" vertical="center" wrapText="1"/>
    </xf>
    <xf numFmtId="10" fontId="0" fillId="6" borderId="10" xfId="6" applyNumberFormat="1" applyFont="1" applyFill="1" applyBorder="1" applyAlignment="1">
      <alignment horizontal="center" vertical="center" wrapText="1"/>
    </xf>
    <xf numFmtId="10" fontId="0" fillId="6" borderId="2" xfId="6" applyNumberFormat="1" applyFont="1" applyFill="1" applyBorder="1" applyAlignment="1">
      <alignment horizontal="center" vertical="center" wrapText="1"/>
    </xf>
    <xf numFmtId="10" fontId="1" fillId="6" borderId="11" xfId="6" applyNumberFormat="1" applyFont="1" applyFill="1" applyBorder="1" applyAlignment="1">
      <alignment horizontal="center" vertical="center" wrapText="1"/>
    </xf>
    <xf numFmtId="10" fontId="0" fillId="6" borderId="11" xfId="6" applyNumberFormat="1" applyFont="1" applyFill="1" applyBorder="1" applyAlignment="1">
      <alignment horizontal="center" vertical="center" wrapText="1"/>
    </xf>
    <xf numFmtId="10" fontId="0" fillId="6" borderId="12" xfId="6" applyNumberFormat="1" applyFont="1" applyFill="1" applyBorder="1" applyAlignment="1">
      <alignment horizontal="center" vertical="center" wrapText="1"/>
    </xf>
    <xf numFmtId="10" fontId="0" fillId="6" borderId="13" xfId="6" applyNumberFormat="1" applyFont="1" applyFill="1" applyBorder="1" applyAlignment="1">
      <alignment horizontal="center" vertical="center" wrapText="1"/>
    </xf>
    <xf numFmtId="10" fontId="1" fillId="6" borderId="14" xfId="6" applyNumberFormat="1" applyFont="1" applyFill="1" applyBorder="1" applyAlignment="1">
      <alignment horizontal="center" vertical="center" wrapText="1"/>
    </xf>
    <xf numFmtId="10" fontId="0" fillId="6" borderId="14" xfId="6" applyNumberFormat="1" applyFont="1" applyFill="1" applyBorder="1" applyAlignment="1">
      <alignment horizontal="center" vertical="center" wrapText="1"/>
    </xf>
    <xf numFmtId="10" fontId="1" fillId="0" borderId="22" xfId="6" applyNumberFormat="1" applyFont="1" applyFill="1" applyBorder="1" applyAlignment="1">
      <alignment horizontal="center" wrapText="1"/>
    </xf>
    <xf numFmtId="10" fontId="1" fillId="0" borderId="14" xfId="6" applyNumberFormat="1" applyFont="1" applyFill="1" applyBorder="1" applyAlignment="1">
      <alignment horizontal="center" wrapText="1"/>
    </xf>
    <xf numFmtId="10" fontId="0" fillId="0" borderId="2" xfId="6" applyNumberFormat="1" applyFont="1" applyFill="1" applyBorder="1" applyAlignment="1">
      <alignment horizontal="center" wrapText="1"/>
    </xf>
    <xf numFmtId="164" fontId="0" fillId="0" borderId="30" xfId="0" applyNumberFormat="1" applyBorder="1" applyAlignment="1">
      <alignment horizontal="center"/>
    </xf>
    <xf numFmtId="10" fontId="0" fillId="0" borderId="10" xfId="6" applyNumberFormat="1" applyFont="1" applyFill="1" applyBorder="1" applyAlignment="1">
      <alignment horizontal="center" wrapText="1"/>
    </xf>
    <xf numFmtId="10" fontId="1" fillId="0" borderId="11" xfId="6" applyNumberFormat="1" applyFont="1" applyFill="1" applyBorder="1" applyAlignment="1">
      <alignment horizontal="center" wrapText="1"/>
    </xf>
    <xf numFmtId="10" fontId="0" fillId="6" borderId="20" xfId="6" applyNumberFormat="1" applyFont="1" applyFill="1" applyBorder="1" applyAlignment="1">
      <alignment horizontal="center" vertical="center" wrapText="1"/>
    </xf>
    <xf numFmtId="10" fontId="0" fillId="0" borderId="61" xfId="6" applyNumberFormat="1" applyFont="1" applyFill="1" applyBorder="1" applyAlignment="1">
      <alignment horizontal="center" wrapText="1"/>
    </xf>
    <xf numFmtId="10" fontId="0" fillId="0" borderId="62" xfId="6" applyNumberFormat="1" applyFont="1" applyFill="1" applyBorder="1" applyAlignment="1">
      <alignment horizontal="center" wrapText="1"/>
    </xf>
    <xf numFmtId="10" fontId="1" fillId="0" borderId="61" xfId="6" applyNumberFormat="1" applyFont="1" applyFill="1" applyBorder="1" applyAlignment="1">
      <alignment horizontal="center" wrapText="1"/>
    </xf>
    <xf numFmtId="10" fontId="1" fillId="0" borderId="30" xfId="6" applyNumberFormat="1" applyFont="1" applyFill="1" applyBorder="1" applyAlignment="1">
      <alignment horizontal="center" wrapText="1"/>
    </xf>
    <xf numFmtId="10" fontId="1" fillId="0" borderId="62" xfId="6" applyNumberFormat="1" applyFont="1" applyFill="1" applyBorder="1" applyAlignment="1">
      <alignment horizontal="center" wrapText="1"/>
    </xf>
    <xf numFmtId="0" fontId="8" fillId="2" borderId="0" xfId="0" applyFont="1" applyFill="1" applyAlignment="1">
      <alignment horizontal="left" wrapText="1"/>
    </xf>
    <xf numFmtId="0" fontId="26" fillId="2" borderId="0" xfId="1" applyFont="1" applyFill="1" applyBorder="1" applyAlignment="1">
      <alignment horizontal="center" vertical="center" wrapText="1"/>
    </xf>
    <xf numFmtId="0" fontId="8" fillId="2" borderId="0" xfId="0" applyFont="1" applyFill="1" applyAlignment="1">
      <alignment wrapText="1"/>
    </xf>
    <xf numFmtId="165" fontId="8" fillId="2" borderId="0" xfId="0" applyNumberFormat="1" applyFont="1" applyFill="1" applyAlignment="1">
      <alignment horizontal="center" wrapText="1"/>
    </xf>
    <xf numFmtId="165" fontId="8" fillId="2" borderId="0" xfId="0" applyNumberFormat="1" applyFont="1" applyFill="1" applyAlignment="1">
      <alignment horizontal="center"/>
    </xf>
    <xf numFmtId="0" fontId="8" fillId="2" borderId="0" xfId="0" applyFont="1" applyFill="1" applyAlignment="1">
      <alignment horizontal="center" wrapText="1"/>
    </xf>
    <xf numFmtId="0" fontId="8" fillId="2" borderId="0" xfId="0" applyFont="1" applyFill="1" applyAlignment="1">
      <alignment horizontal="center" vertical="center" wrapText="1"/>
    </xf>
    <xf numFmtId="16" fontId="8" fillId="2" borderId="0" xfId="2" applyNumberFormat="1" applyFont="1" applyFill="1" applyBorder="1" applyAlignment="1">
      <alignment horizontal="center" wrapText="1"/>
    </xf>
    <xf numFmtId="0" fontId="8" fillId="2" borderId="0" xfId="2" applyNumberFormat="1" applyFont="1" applyFill="1" applyBorder="1" applyAlignment="1">
      <alignment horizontal="center"/>
    </xf>
    <xf numFmtId="16" fontId="8" fillId="2" borderId="0" xfId="2" applyNumberFormat="1" applyFont="1" applyFill="1" applyBorder="1" applyAlignment="1">
      <alignment horizontal="center"/>
    </xf>
    <xf numFmtId="20" fontId="8" fillId="2" borderId="0" xfId="0" applyNumberFormat="1" applyFont="1" applyFill="1" applyAlignment="1">
      <alignment horizontal="center" vertical="center" wrapText="1"/>
    </xf>
    <xf numFmtId="2" fontId="8" fillId="2" borderId="0" xfId="0" applyNumberFormat="1" applyFont="1" applyFill="1" applyAlignment="1">
      <alignment horizontal="center" wrapText="1"/>
    </xf>
    <xf numFmtId="2" fontId="8" fillId="2" borderId="0" xfId="0" applyNumberFormat="1" applyFont="1" applyFill="1" applyAlignment="1">
      <alignment wrapText="1"/>
    </xf>
    <xf numFmtId="164" fontId="1" fillId="2" borderId="0" xfId="0" applyNumberFormat="1" applyFont="1" applyFill="1" applyAlignment="1">
      <alignment horizontal="center" vertical="center" wrapText="1"/>
    </xf>
    <xf numFmtId="0" fontId="1" fillId="16" borderId="0" xfId="0" applyFont="1" applyFill="1"/>
    <xf numFmtId="0" fontId="8" fillId="16" borderId="0" xfId="0" applyFont="1" applyFill="1"/>
    <xf numFmtId="0" fontId="8" fillId="16" borderId="0" xfId="1" applyFont="1" applyFill="1" applyBorder="1"/>
    <xf numFmtId="0" fontId="0" fillId="16" borderId="0" xfId="0" applyFill="1"/>
    <xf numFmtId="0" fontId="27" fillId="16" borderId="0" xfId="0" applyFont="1" applyFill="1" applyAlignment="1">
      <alignment horizontal="center" vertical="center"/>
    </xf>
    <xf numFmtId="49" fontId="2" fillId="16" borderId="0" xfId="0" applyNumberFormat="1" applyFont="1" applyFill="1" applyAlignment="1">
      <alignment horizontal="center" vertical="center"/>
    </xf>
    <xf numFmtId="49" fontId="0" fillId="2" borderId="0" xfId="0" applyNumberFormat="1" applyFill="1" applyAlignment="1">
      <alignment horizontal="center"/>
    </xf>
    <xf numFmtId="49" fontId="6" fillId="6" borderId="2" xfId="0" applyNumberFormat="1" applyFont="1" applyFill="1" applyBorder="1" applyAlignment="1">
      <alignment horizontal="center" vertical="center"/>
    </xf>
    <xf numFmtId="49" fontId="0" fillId="2" borderId="0" xfId="0" applyNumberFormat="1" applyFill="1" applyAlignment="1">
      <alignment horizontal="center" vertical="center"/>
    </xf>
    <xf numFmtId="0" fontId="28" fillId="16" borderId="0" xfId="0" applyFont="1" applyFill="1" applyAlignment="1">
      <alignment horizontal="center" vertical="center"/>
    </xf>
    <xf numFmtId="14" fontId="28" fillId="16" borderId="0" xfId="0" applyNumberFormat="1" applyFont="1" applyFill="1" applyAlignment="1">
      <alignment horizontal="center" vertical="center"/>
    </xf>
    <xf numFmtId="0" fontId="0" fillId="2" borderId="0" xfId="0" applyFill="1" applyAlignment="1">
      <alignment horizontal="left" vertical="center" wrapText="1"/>
    </xf>
    <xf numFmtId="0" fontId="3" fillId="2" borderId="0" xfId="1" applyFill="1" applyBorder="1"/>
    <xf numFmtId="49" fontId="0" fillId="2" borderId="0" xfId="0" applyNumberFormat="1" applyFill="1"/>
    <xf numFmtId="2" fontId="0" fillId="2" borderId="0" xfId="0" applyNumberFormat="1" applyFill="1"/>
    <xf numFmtId="0" fontId="1" fillId="2" borderId="0" xfId="0" applyFont="1" applyFill="1" applyAlignment="1">
      <alignment horizontal="right" vertical="center"/>
    </xf>
    <xf numFmtId="0" fontId="1" fillId="2" borderId="0" xfId="0" applyFont="1" applyFill="1" applyAlignment="1">
      <alignment vertical="center"/>
    </xf>
    <xf numFmtId="0" fontId="20" fillId="16" borderId="67" xfId="0" applyFont="1" applyFill="1" applyBorder="1" applyAlignment="1">
      <alignment horizontal="center" vertical="center" wrapText="1"/>
    </xf>
    <xf numFmtId="0" fontId="20" fillId="16" borderId="68" xfId="0" applyFont="1" applyFill="1" applyBorder="1" applyAlignment="1">
      <alignment horizontal="center" vertical="center" wrapText="1"/>
    </xf>
    <xf numFmtId="0" fontId="20" fillId="16" borderId="69" xfId="0" applyFont="1" applyFill="1" applyBorder="1" applyAlignment="1">
      <alignment horizontal="center" vertical="center" wrapText="1"/>
    </xf>
    <xf numFmtId="0" fontId="0" fillId="0" borderId="0" xfId="0" applyAlignment="1">
      <alignment horizontal="center"/>
    </xf>
    <xf numFmtId="14" fontId="1" fillId="2" borderId="0" xfId="0" applyNumberFormat="1" applyFont="1" applyFill="1"/>
    <xf numFmtId="14" fontId="1" fillId="2" borderId="29" xfId="0" applyNumberFormat="1" applyFont="1" applyFill="1" applyBorder="1"/>
    <xf numFmtId="14" fontId="20" fillId="16" borderId="63" xfId="0" applyNumberFormat="1" applyFont="1" applyFill="1" applyBorder="1" applyAlignment="1">
      <alignment horizontal="center" vertical="center" wrapText="1"/>
    </xf>
    <xf numFmtId="0" fontId="3" fillId="2" borderId="0" xfId="1" applyFill="1" applyAlignment="1">
      <alignment horizontal="center" vertical="center"/>
    </xf>
    <xf numFmtId="49" fontId="1" fillId="2" borderId="0" xfId="0" applyNumberFormat="1" applyFont="1" applyFill="1"/>
    <xf numFmtId="49" fontId="0" fillId="2" borderId="29" xfId="0" applyNumberFormat="1" applyFill="1" applyBorder="1"/>
    <xf numFmtId="49" fontId="0" fillId="2" borderId="0" xfId="0" applyNumberFormat="1" applyFill="1" applyAlignment="1">
      <alignment horizontal="left"/>
    </xf>
    <xf numFmtId="49" fontId="20" fillId="16" borderId="63" xfId="0" applyNumberFormat="1" applyFont="1" applyFill="1" applyBorder="1" applyAlignment="1">
      <alignment horizontal="center" vertical="center" wrapText="1"/>
    </xf>
    <xf numFmtId="49" fontId="1" fillId="2" borderId="0" xfId="0" applyNumberFormat="1" applyFont="1" applyFill="1" applyAlignment="1">
      <alignment horizontal="center" vertical="center"/>
    </xf>
    <xf numFmtId="49" fontId="0" fillId="0" borderId="1" xfId="0" applyNumberFormat="1" applyBorder="1" applyAlignment="1">
      <alignment horizontal="center" vertical="center"/>
    </xf>
    <xf numFmtId="9" fontId="29" fillId="16" borderId="0" xfId="6" applyFont="1" applyFill="1" applyBorder="1" applyAlignment="1">
      <alignment horizontal="center" vertical="center"/>
    </xf>
    <xf numFmtId="20" fontId="2" fillId="16" borderId="0" xfId="0" applyNumberFormat="1" applyFont="1" applyFill="1" applyAlignment="1">
      <alignment horizontal="center" vertical="center"/>
    </xf>
    <xf numFmtId="20" fontId="0" fillId="2" borderId="0" xfId="0" applyNumberFormat="1" applyFill="1" applyAlignment="1">
      <alignment horizontal="center"/>
    </xf>
    <xf numFmtId="20" fontId="8" fillId="2" borderId="0" xfId="0" applyNumberFormat="1" applyFont="1" applyFill="1" applyAlignment="1">
      <alignment horizontal="center"/>
    </xf>
    <xf numFmtId="20" fontId="6" fillId="0" borderId="2" xfId="0" applyNumberFormat="1" applyFont="1" applyBorder="1" applyAlignment="1">
      <alignment horizontal="center" vertical="center"/>
    </xf>
    <xf numFmtId="20" fontId="0" fillId="2" borderId="0" xfId="0" applyNumberFormat="1" applyFill="1" applyAlignment="1">
      <alignment horizontal="center" vertical="center"/>
    </xf>
    <xf numFmtId="9" fontId="21" fillId="16" borderId="0" xfId="6" applyNumberFormat="1" applyFont="1" applyFill="1" applyBorder="1" applyAlignment="1">
      <alignment horizontal="center" vertical="center"/>
    </xf>
    <xf numFmtId="9" fontId="1" fillId="2" borderId="0" xfId="6" applyNumberFormat="1" applyFont="1" applyFill="1" applyAlignment="1">
      <alignment horizontal="center"/>
    </xf>
    <xf numFmtId="9" fontId="6" fillId="2" borderId="2" xfId="6" applyNumberFormat="1" applyFont="1" applyFill="1" applyBorder="1" applyAlignment="1">
      <alignment horizontal="center"/>
    </xf>
    <xf numFmtId="9" fontId="1" fillId="16" borderId="0" xfId="6" applyNumberFormat="1" applyFont="1" applyFill="1" applyBorder="1" applyAlignment="1">
      <alignment horizontal="center" vertical="center"/>
    </xf>
    <xf numFmtId="49" fontId="0" fillId="6" borderId="5" xfId="0" applyNumberFormat="1" applyFill="1" applyBorder="1" applyAlignment="1">
      <alignment horizontal="center" vertical="center" wrapText="1"/>
    </xf>
    <xf numFmtId="49" fontId="1" fillId="6" borderId="1" xfId="0" applyNumberFormat="1" applyFont="1" applyFill="1" applyBorder="1" applyAlignment="1">
      <alignment horizontal="center" vertical="center"/>
    </xf>
    <xf numFmtId="49" fontId="1" fillId="2" borderId="1" xfId="0" applyNumberFormat="1" applyFont="1" applyFill="1" applyBorder="1" applyAlignment="1">
      <alignment horizontal="center" vertical="center"/>
    </xf>
    <xf numFmtId="49" fontId="1" fillId="6" borderId="5" xfId="0" applyNumberFormat="1" applyFont="1" applyFill="1" applyBorder="1" applyAlignment="1">
      <alignment horizontal="center"/>
    </xf>
    <xf numFmtId="49" fontId="0" fillId="6" borderId="5" xfId="0" applyNumberFormat="1" applyFill="1" applyBorder="1" applyAlignment="1">
      <alignment horizontal="center"/>
    </xf>
    <xf numFmtId="49" fontId="3" fillId="2" borderId="0" xfId="1" applyNumberFormat="1" applyFill="1" applyAlignment="1">
      <alignment horizontal="center" vertical="center"/>
    </xf>
    <xf numFmtId="49" fontId="0" fillId="2" borderId="0" xfId="0" applyNumberFormat="1" applyFill="1" applyAlignment="1">
      <alignment vertical="center"/>
    </xf>
    <xf numFmtId="0" fontId="0" fillId="2" borderId="0" xfId="0" applyFill="1" applyAlignment="1">
      <alignment vertical="center"/>
    </xf>
    <xf numFmtId="49" fontId="0" fillId="0" borderId="1" xfId="0" applyNumberFormat="1" applyFont="1" applyBorder="1" applyAlignment="1">
      <alignment horizontal="center" vertical="center"/>
    </xf>
    <xf numFmtId="49" fontId="1" fillId="0" borderId="19" xfId="0" applyNumberFormat="1" applyFont="1" applyBorder="1" applyAlignment="1">
      <alignment horizontal="center" vertical="center"/>
    </xf>
    <xf numFmtId="0" fontId="0" fillId="0" borderId="1" xfId="0" applyBorder="1" applyAlignment="1">
      <alignment horizontal="center" vertical="center"/>
    </xf>
    <xf numFmtId="49" fontId="0" fillId="0" borderId="0" xfId="0" applyNumberFormat="1" applyAlignment="1">
      <alignment horizontal="center" vertical="center"/>
    </xf>
    <xf numFmtId="166" fontId="0" fillId="0" borderId="0" xfId="0" applyNumberFormat="1" applyAlignment="1">
      <alignment horizontal="center" vertical="center"/>
    </xf>
    <xf numFmtId="14" fontId="8" fillId="2" borderId="0" xfId="0" applyNumberFormat="1" applyFont="1" applyFill="1"/>
    <xf numFmtId="14" fontId="0" fillId="0" borderId="50" xfId="0" applyNumberFormat="1" applyBorder="1" applyAlignment="1">
      <alignment horizontal="center" vertical="center"/>
    </xf>
    <xf numFmtId="20" fontId="0" fillId="0" borderId="50" xfId="0" applyNumberFormat="1" applyBorder="1" applyAlignment="1">
      <alignment horizontal="center" vertical="center"/>
    </xf>
    <xf numFmtId="49" fontId="0" fillId="2" borderId="0" xfId="0" applyNumberFormat="1" applyFont="1" applyFill="1"/>
    <xf numFmtId="49" fontId="0" fillId="0" borderId="50" xfId="0" applyNumberFormat="1" applyBorder="1" applyAlignment="1">
      <alignment horizontal="center" vertical="center"/>
    </xf>
    <xf numFmtId="0" fontId="0" fillId="2" borderId="0" xfId="0" applyFont="1" applyFill="1" applyAlignment="1">
      <alignment horizontal="right" vertical="center"/>
    </xf>
    <xf numFmtId="20" fontId="0" fillId="2" borderId="0" xfId="0" applyNumberFormat="1" applyFill="1"/>
    <xf numFmtId="49" fontId="0" fillId="2" borderId="0" xfId="0" applyNumberFormat="1" applyFill="1" applyAlignment="1">
      <alignment horizontal="left" vertical="center"/>
    </xf>
    <xf numFmtId="0" fontId="16" fillId="0" borderId="2" xfId="0" applyFont="1" applyBorder="1" applyAlignment="1">
      <alignment vertical="center" wrapText="1"/>
    </xf>
    <xf numFmtId="0" fontId="17" fillId="0" borderId="2" xfId="0" applyFont="1" applyBorder="1" applyAlignment="1">
      <alignment vertical="center" wrapText="1"/>
    </xf>
    <xf numFmtId="49" fontId="1" fillId="2" borderId="0" xfId="0" applyNumberFormat="1" applyFont="1" applyFill="1" applyAlignment="1">
      <alignment horizontal="center"/>
    </xf>
    <xf numFmtId="1" fontId="20" fillId="16" borderId="63" xfId="0" applyNumberFormat="1" applyFont="1" applyFill="1" applyBorder="1" applyAlignment="1">
      <alignment horizontal="center" vertical="center" wrapText="1"/>
    </xf>
    <xf numFmtId="1" fontId="1" fillId="2" borderId="0" xfId="0" applyNumberFormat="1" applyFont="1" applyFill="1" applyAlignment="1">
      <alignment horizontal="center"/>
    </xf>
    <xf numFmtId="1" fontId="0" fillId="0" borderId="50" xfId="0" applyNumberFormat="1" applyBorder="1" applyAlignment="1">
      <alignment horizontal="center" vertical="center"/>
    </xf>
    <xf numFmtId="1" fontId="0" fillId="6" borderId="1" xfId="0" applyNumberFormat="1" applyFill="1" applyBorder="1" applyAlignment="1">
      <alignment horizontal="center" vertical="center"/>
    </xf>
    <xf numFmtId="1" fontId="1" fillId="2" borderId="29" xfId="0" applyNumberFormat="1" applyFont="1" applyFill="1" applyBorder="1" applyAlignment="1">
      <alignment horizontal="center"/>
    </xf>
    <xf numFmtId="1" fontId="0" fillId="2" borderId="0" xfId="0" applyNumberFormat="1" applyFill="1" applyAlignment="1">
      <alignment horizontal="center" vertical="center"/>
    </xf>
    <xf numFmtId="0" fontId="0" fillId="0" borderId="26" xfId="0" applyBorder="1"/>
    <xf numFmtId="0" fontId="15" fillId="0" borderId="3" xfId="0" applyFont="1" applyBorder="1" applyAlignment="1">
      <alignment vertical="center" wrapText="1"/>
    </xf>
    <xf numFmtId="0" fontId="0" fillId="0" borderId="0" xfId="0" applyBorder="1"/>
    <xf numFmtId="0" fontId="15" fillId="0" borderId="0" xfId="0" applyFont="1" applyBorder="1" applyAlignment="1">
      <alignment vertical="center" wrapText="1"/>
    </xf>
    <xf numFmtId="0" fontId="15" fillId="0" borderId="26" xfId="0" applyFont="1" applyBorder="1" applyAlignment="1">
      <alignment vertical="center" wrapText="1"/>
    </xf>
    <xf numFmtId="0" fontId="15" fillId="0" borderId="71" xfId="0" applyFont="1" applyBorder="1" applyAlignment="1">
      <alignment vertical="center" wrapText="1"/>
    </xf>
    <xf numFmtId="0" fontId="0" fillId="0" borderId="31" xfId="0" applyBorder="1"/>
    <xf numFmtId="1" fontId="0" fillId="0" borderId="0" xfId="0" applyNumberFormat="1" applyAlignment="1">
      <alignment horizontal="center" vertical="center"/>
    </xf>
    <xf numFmtId="49" fontId="0" fillId="2" borderId="5" xfId="0" applyNumberFormat="1" applyFill="1" applyBorder="1" applyAlignment="1">
      <alignment horizontal="center"/>
    </xf>
    <xf numFmtId="0" fontId="0" fillId="0" borderId="1" xfId="0" applyBorder="1" applyAlignment="1">
      <alignment horizontal="center" vertical="center"/>
    </xf>
    <xf numFmtId="0" fontId="0" fillId="2" borderId="50" xfId="0" applyFill="1" applyBorder="1" applyAlignment="1">
      <alignment horizontal="center" vertical="center"/>
    </xf>
    <xf numFmtId="49" fontId="2" fillId="16" borderId="0" xfId="0" applyNumberFormat="1" applyFont="1" applyFill="1" applyAlignment="1">
      <alignment horizontal="center"/>
    </xf>
    <xf numFmtId="49" fontId="20" fillId="16" borderId="63" xfId="0" applyNumberFormat="1" applyFont="1" applyFill="1" applyBorder="1" applyAlignment="1">
      <alignment horizontal="center" wrapText="1"/>
    </xf>
    <xf numFmtId="49" fontId="0" fillId="2" borderId="0" xfId="0" applyNumberFormat="1" applyFill="1" applyAlignment="1">
      <alignment horizontal="right"/>
    </xf>
    <xf numFmtId="1" fontId="1" fillId="0" borderId="1" xfId="0" applyNumberFormat="1" applyFont="1" applyBorder="1" applyAlignment="1">
      <alignment horizontal="center" vertical="center"/>
    </xf>
    <xf numFmtId="49" fontId="1" fillId="16" borderId="0" xfId="0" applyNumberFormat="1" applyFont="1" applyFill="1" applyAlignment="1">
      <alignment horizontal="center" vertical="center"/>
    </xf>
    <xf numFmtId="49" fontId="6" fillId="2" borderId="2" xfId="6" applyNumberFormat="1" applyFont="1" applyFill="1" applyBorder="1" applyAlignment="1">
      <alignment horizontal="center"/>
    </xf>
    <xf numFmtId="49" fontId="0" fillId="2" borderId="0" xfId="0" applyNumberFormat="1" applyFont="1" applyFill="1" applyAlignment="1">
      <alignment horizontal="center"/>
    </xf>
    <xf numFmtId="14" fontId="1" fillId="16" borderId="0" xfId="0" applyNumberFormat="1" applyFont="1" applyFill="1" applyAlignment="1">
      <alignment horizontal="center" vertical="center"/>
    </xf>
    <xf numFmtId="14" fontId="6" fillId="2" borderId="2" xfId="6" applyNumberFormat="1" applyFont="1" applyFill="1" applyBorder="1" applyAlignment="1">
      <alignment horizontal="center"/>
    </xf>
    <xf numFmtId="20" fontId="1" fillId="16" borderId="0" xfId="0" applyNumberFormat="1" applyFont="1" applyFill="1" applyAlignment="1">
      <alignment horizontal="center" vertical="center"/>
    </xf>
    <xf numFmtId="20" fontId="6" fillId="2" borderId="2" xfId="6" applyNumberFormat="1" applyFont="1" applyFill="1" applyBorder="1" applyAlignment="1">
      <alignment horizontal="center"/>
    </xf>
    <xf numFmtId="0" fontId="4" fillId="0" borderId="0" xfId="0" applyFont="1" applyAlignment="1"/>
    <xf numFmtId="0" fontId="0" fillId="2" borderId="0" xfId="0" applyFill="1" applyAlignment="1">
      <alignment horizontal="left" vertical="center"/>
    </xf>
    <xf numFmtId="0" fontId="24" fillId="2" borderId="0" xfId="0" applyFont="1" applyFill="1" applyAlignment="1">
      <alignment horizontal="center"/>
    </xf>
    <xf numFmtId="0" fontId="0" fillId="0" borderId="20" xfId="0" applyBorder="1" applyAlignment="1">
      <alignment horizontal="center" vertical="center"/>
    </xf>
    <xf numFmtId="0" fontId="0" fillId="0" borderId="10" xfId="0" applyBorder="1" applyAlignment="1">
      <alignment horizontal="center" vertical="center"/>
    </xf>
    <xf numFmtId="0" fontId="0" fillId="0" borderId="12" xfId="0" applyBorder="1" applyAlignment="1">
      <alignment horizontal="center" vertical="center"/>
    </xf>
    <xf numFmtId="0" fontId="20" fillId="16" borderId="53" xfId="0" applyFont="1" applyFill="1" applyBorder="1" applyAlignment="1">
      <alignment horizontal="center" vertical="center" wrapText="1"/>
    </xf>
    <xf numFmtId="0" fontId="20" fillId="16" borderId="54" xfId="0" applyFont="1" applyFill="1" applyBorder="1" applyAlignment="1">
      <alignment horizontal="center" vertical="center" wrapText="1"/>
    </xf>
    <xf numFmtId="0" fontId="1" fillId="6" borderId="20" xfId="0" applyFont="1" applyFill="1" applyBorder="1" applyAlignment="1">
      <alignment horizontal="center" vertical="center"/>
    </xf>
    <xf numFmtId="0" fontId="1" fillId="6" borderId="10" xfId="0" applyFont="1" applyFill="1" applyBorder="1" applyAlignment="1">
      <alignment horizontal="center" vertical="center"/>
    </xf>
    <xf numFmtId="0" fontId="1" fillId="6" borderId="12" xfId="0" applyFont="1" applyFill="1" applyBorder="1" applyAlignment="1">
      <alignment horizontal="center" vertical="center"/>
    </xf>
    <xf numFmtId="0" fontId="8" fillId="2" borderId="0" xfId="2" applyFont="1" applyFill="1" applyBorder="1" applyAlignment="1">
      <alignment horizontal="center" vertical="center" wrapText="1"/>
    </xf>
    <xf numFmtId="0" fontId="20" fillId="16" borderId="51" xfId="0" applyFont="1" applyFill="1" applyBorder="1" applyAlignment="1">
      <alignment horizontal="center" vertical="center"/>
    </xf>
    <xf numFmtId="0" fontId="20" fillId="16" borderId="52" xfId="0" applyFont="1" applyFill="1" applyBorder="1" applyAlignment="1">
      <alignment horizontal="center" vertical="center"/>
    </xf>
    <xf numFmtId="0" fontId="20" fillId="16" borderId="55" xfId="0" applyFont="1" applyFill="1" applyBorder="1" applyAlignment="1">
      <alignment horizontal="center" vertical="center"/>
    </xf>
    <xf numFmtId="0" fontId="20" fillId="16" borderId="56" xfId="0" applyFont="1" applyFill="1" applyBorder="1" applyAlignment="1">
      <alignment horizontal="center" vertical="center"/>
    </xf>
    <xf numFmtId="0" fontId="5" fillId="9" borderId="15" xfId="5" applyBorder="1" applyAlignment="1">
      <alignment horizontal="center" vertical="center"/>
    </xf>
    <xf numFmtId="0" fontId="5" fillId="9" borderId="16" xfId="5" applyBorder="1" applyAlignment="1">
      <alignment horizontal="center" vertical="center"/>
    </xf>
    <xf numFmtId="0" fontId="5" fillId="9" borderId="17" xfId="5" applyBorder="1" applyAlignment="1">
      <alignment horizontal="center" vertical="center"/>
    </xf>
    <xf numFmtId="0" fontId="4" fillId="4" borderId="18" xfId="2" applyFill="1" applyBorder="1" applyAlignment="1">
      <alignment horizontal="center" vertical="center"/>
    </xf>
    <xf numFmtId="0" fontId="4" fillId="4" borderId="8" xfId="2" applyFill="1" applyBorder="1" applyAlignment="1">
      <alignment horizontal="center" vertical="center"/>
    </xf>
    <xf numFmtId="0" fontId="0" fillId="0" borderId="1" xfId="0" applyBorder="1" applyAlignment="1">
      <alignment horizontal="center" vertical="center"/>
    </xf>
    <xf numFmtId="0" fontId="1" fillId="0" borderId="1" xfId="0" applyFont="1" applyBorder="1" applyAlignment="1">
      <alignment horizontal="center" vertical="center"/>
    </xf>
    <xf numFmtId="0" fontId="5" fillId="9" borderId="59" xfId="5" applyBorder="1" applyAlignment="1">
      <alignment horizontal="center" vertical="center" wrapText="1"/>
    </xf>
    <xf numFmtId="0" fontId="5" fillId="9" borderId="60" xfId="5" applyBorder="1" applyAlignment="1">
      <alignment horizontal="center" vertical="center" wrapText="1"/>
    </xf>
    <xf numFmtId="0" fontId="1" fillId="2" borderId="1" xfId="0" applyFont="1" applyFill="1" applyBorder="1" applyAlignment="1">
      <alignment horizontal="center" vertical="center"/>
    </xf>
    <xf numFmtId="0" fontId="7" fillId="11" borderId="20" xfId="7" applyFont="1" applyFill="1" applyBorder="1" applyAlignment="1">
      <alignment horizontal="center" vertical="center"/>
    </xf>
    <xf numFmtId="0" fontId="7" fillId="11" borderId="10" xfId="7" applyFont="1" applyFill="1" applyBorder="1" applyAlignment="1">
      <alignment horizontal="center" vertical="center"/>
    </xf>
    <xf numFmtId="0" fontId="7" fillId="11" borderId="12" xfId="7" applyFont="1" applyFill="1" applyBorder="1" applyAlignment="1">
      <alignment horizontal="center" vertical="center"/>
    </xf>
    <xf numFmtId="0" fontId="4" fillId="12" borderId="20" xfId="3" applyFill="1" applyBorder="1" applyAlignment="1">
      <alignment horizontal="center" vertical="center"/>
    </xf>
    <xf numFmtId="0" fontId="4" fillId="12" borderId="10" xfId="3" applyFill="1" applyBorder="1" applyAlignment="1">
      <alignment horizontal="center" vertical="center"/>
    </xf>
    <xf numFmtId="0" fontId="4" fillId="12" borderId="12" xfId="3" applyFill="1" applyBorder="1" applyAlignment="1">
      <alignment horizontal="center" vertical="center"/>
    </xf>
    <xf numFmtId="0" fontId="4" fillId="13" borderId="20" xfId="4" applyFill="1" applyBorder="1" applyAlignment="1">
      <alignment horizontal="center" vertical="center"/>
    </xf>
    <xf numFmtId="0" fontId="4" fillId="13" borderId="10" xfId="4" applyFill="1" applyBorder="1" applyAlignment="1">
      <alignment horizontal="center" vertical="center"/>
    </xf>
    <xf numFmtId="0" fontId="4" fillId="13" borderId="12" xfId="4" applyFill="1" applyBorder="1" applyAlignment="1">
      <alignment horizontal="center" vertical="center"/>
    </xf>
    <xf numFmtId="0" fontId="4" fillId="7" borderId="23" xfId="3" applyBorder="1" applyAlignment="1">
      <alignment horizontal="center" vertical="center" wrapText="1"/>
    </xf>
    <xf numFmtId="0" fontId="4" fillId="7" borderId="24" xfId="3" applyBorder="1" applyAlignment="1">
      <alignment horizontal="center" vertical="center" wrapText="1"/>
    </xf>
    <xf numFmtId="49" fontId="0" fillId="2" borderId="5" xfId="0" applyNumberFormat="1" applyFill="1" applyBorder="1" applyAlignment="1">
      <alignment horizontal="center"/>
    </xf>
    <xf numFmtId="0" fontId="0" fillId="0" borderId="34" xfId="0" applyBorder="1" applyAlignment="1">
      <alignment horizontal="center" vertical="center" wrapText="1"/>
    </xf>
    <xf numFmtId="0" fontId="0" fillId="0" borderId="37" xfId="0" applyBorder="1" applyAlignment="1">
      <alignment horizontal="center" vertical="center" wrapText="1"/>
    </xf>
    <xf numFmtId="0" fontId="0" fillId="0" borderId="40" xfId="0" applyBorder="1" applyAlignment="1">
      <alignment horizontal="center" vertical="center" wrapText="1"/>
    </xf>
    <xf numFmtId="0" fontId="0" fillId="0" borderId="46" xfId="0" applyBorder="1" applyAlignment="1">
      <alignment horizontal="center" vertical="center" wrapText="1"/>
    </xf>
    <xf numFmtId="0" fontId="0" fillId="0" borderId="47" xfId="0" applyBorder="1" applyAlignment="1">
      <alignment horizontal="center" vertical="center" wrapText="1"/>
    </xf>
    <xf numFmtId="0" fontId="0" fillId="0" borderId="49" xfId="0" applyBorder="1" applyAlignment="1">
      <alignment horizontal="center" vertical="center" wrapText="1"/>
    </xf>
    <xf numFmtId="0" fontId="14" fillId="0" borderId="45" xfId="0" applyFont="1" applyBorder="1" applyAlignment="1">
      <alignment horizontal="left" vertical="center" wrapText="1"/>
    </xf>
    <xf numFmtId="0" fontId="0" fillId="0" borderId="48" xfId="0" applyBorder="1" applyAlignment="1">
      <alignment horizontal="left" vertical="center" wrapText="1"/>
    </xf>
    <xf numFmtId="0" fontId="0" fillId="0" borderId="49" xfId="0" applyBorder="1" applyAlignment="1">
      <alignment horizontal="left" vertical="center" wrapText="1"/>
    </xf>
    <xf numFmtId="0" fontId="14" fillId="0" borderId="35" xfId="0" applyFont="1" applyBorder="1" applyAlignment="1">
      <alignment horizontal="left" vertical="center" wrapText="1"/>
    </xf>
    <xf numFmtId="0" fontId="14" fillId="0" borderId="38" xfId="0" applyFont="1" applyBorder="1" applyAlignment="1">
      <alignment horizontal="left" vertical="center" wrapText="1"/>
    </xf>
    <xf numFmtId="0" fontId="0" fillId="0" borderId="35" xfId="0" applyBorder="1" applyAlignment="1">
      <alignment horizontal="left" vertical="center" wrapText="1"/>
    </xf>
    <xf numFmtId="0" fontId="0" fillId="0" borderId="44" xfId="0" applyBorder="1" applyAlignment="1">
      <alignment horizontal="left" vertical="center" wrapText="1"/>
    </xf>
    <xf numFmtId="0" fontId="16" fillId="14" borderId="2" xfId="0" applyFont="1" applyFill="1" applyBorder="1" applyAlignment="1">
      <alignment horizontal="center" vertical="center"/>
    </xf>
    <xf numFmtId="0" fontId="16" fillId="0" borderId="2" xfId="0" applyFont="1" applyBorder="1" applyAlignment="1">
      <alignment horizontal="center" vertical="center"/>
    </xf>
    <xf numFmtId="0" fontId="16" fillId="0" borderId="2" xfId="0" applyFont="1" applyBorder="1" applyAlignment="1">
      <alignment vertical="center" wrapText="1"/>
    </xf>
    <xf numFmtId="0" fontId="3" fillId="0" borderId="2" xfId="1" applyBorder="1" applyAlignment="1">
      <alignment horizontal="left" vertical="center" wrapText="1"/>
    </xf>
    <xf numFmtId="0" fontId="19" fillId="0" borderId="2" xfId="1" applyFont="1" applyBorder="1" applyAlignment="1">
      <alignment horizontal="left" vertical="center" wrapText="1"/>
    </xf>
    <xf numFmtId="0" fontId="16" fillId="0" borderId="2" xfId="0" applyFont="1" applyBorder="1" applyAlignment="1">
      <alignment horizontal="center" vertical="center" wrapText="1"/>
    </xf>
    <xf numFmtId="0" fontId="15" fillId="0" borderId="2" xfId="0" applyFont="1" applyBorder="1" applyAlignment="1">
      <alignment vertical="center" wrapText="1"/>
    </xf>
    <xf numFmtId="0" fontId="15" fillId="0" borderId="31" xfId="0" applyFont="1" applyBorder="1" applyAlignment="1">
      <alignment vertical="center" wrapText="1"/>
    </xf>
    <xf numFmtId="0" fontId="17" fillId="0" borderId="2" xfId="0" applyFont="1" applyBorder="1" applyAlignment="1">
      <alignment horizontal="left" vertical="top" wrapText="1"/>
    </xf>
    <xf numFmtId="0" fontId="3" fillId="0" borderId="2" xfId="1" applyBorder="1" applyAlignment="1">
      <alignment horizontal="left"/>
    </xf>
    <xf numFmtId="0" fontId="2" fillId="0" borderId="2" xfId="0" applyFont="1" applyBorder="1" applyAlignment="1">
      <alignment horizontal="left"/>
    </xf>
    <xf numFmtId="0" fontId="17" fillId="0" borderId="2" xfId="0" applyFont="1" applyBorder="1" applyAlignment="1">
      <alignment horizontal="left" vertical="center" wrapText="1"/>
    </xf>
    <xf numFmtId="0" fontId="16" fillId="0" borderId="2" xfId="0" applyFont="1" applyBorder="1" applyAlignment="1">
      <alignment horizontal="left" vertical="center" wrapText="1"/>
    </xf>
    <xf numFmtId="0" fontId="0" fillId="2" borderId="0" xfId="0" applyFill="1" applyAlignment="1">
      <alignment horizontal="left" vertical="top" wrapText="1"/>
    </xf>
    <xf numFmtId="0" fontId="0" fillId="2" borderId="0" xfId="0" applyFill="1" applyAlignment="1">
      <alignment horizontal="left" vertical="top"/>
    </xf>
    <xf numFmtId="49" fontId="0" fillId="2" borderId="32" xfId="0" applyNumberFormat="1" applyFill="1" applyBorder="1" applyAlignment="1">
      <alignment horizontal="center" vertical="center"/>
    </xf>
    <xf numFmtId="49" fontId="1" fillId="2" borderId="32" xfId="0" applyNumberFormat="1" applyFont="1" applyFill="1" applyBorder="1" applyAlignment="1">
      <alignment horizontal="center" vertical="center"/>
    </xf>
    <xf numFmtId="0" fontId="4" fillId="15" borderId="0" xfId="0" applyFont="1" applyFill="1" applyAlignment="1">
      <alignment horizontal="center" vertical="center"/>
    </xf>
    <xf numFmtId="0" fontId="0" fillId="0" borderId="1" xfId="0" applyBorder="1" applyAlignment="1">
      <alignment horizontal="left" vertical="top" wrapText="1"/>
    </xf>
    <xf numFmtId="0" fontId="0" fillId="6" borderId="1" xfId="0" applyFill="1" applyBorder="1" applyAlignment="1">
      <alignment horizontal="left" vertical="center"/>
    </xf>
    <xf numFmtId="0" fontId="20" fillId="16" borderId="64" xfId="0" applyFont="1" applyFill="1" applyBorder="1" applyAlignment="1">
      <alignment horizontal="center" vertical="center" wrapText="1"/>
    </xf>
    <xf numFmtId="0" fontId="20" fillId="16" borderId="65" xfId="0" applyFont="1" applyFill="1" applyBorder="1" applyAlignment="1">
      <alignment horizontal="center" vertical="center" wrapText="1"/>
    </xf>
    <xf numFmtId="0" fontId="20" fillId="16" borderId="66" xfId="0" applyFont="1" applyFill="1" applyBorder="1" applyAlignment="1">
      <alignment horizontal="center" vertical="center" wrapText="1"/>
    </xf>
    <xf numFmtId="0" fontId="0" fillId="2" borderId="0" xfId="0" applyFill="1" applyAlignment="1">
      <alignment horizontal="left" vertical="center"/>
    </xf>
    <xf numFmtId="49" fontId="0" fillId="0" borderId="70" xfId="0" applyNumberFormat="1" applyBorder="1" applyAlignment="1">
      <alignment horizontal="center" vertical="center"/>
    </xf>
    <xf numFmtId="49" fontId="0" fillId="2" borderId="0" xfId="0" applyNumberFormat="1" applyFill="1" applyBorder="1" applyAlignment="1">
      <alignment horizontal="center" vertical="center"/>
    </xf>
  </cellXfs>
  <cellStyles count="11">
    <cellStyle name="60% - Accent1" xfId="8" builtinId="32"/>
    <cellStyle name="60% - Accent2" xfId="9" builtinId="36"/>
    <cellStyle name="60% - Accent6" xfId="10" builtinId="52"/>
    <cellStyle name="Accent3" xfId="2" builtinId="37"/>
    <cellStyle name="Accent4" xfId="7" builtinId="41"/>
    <cellStyle name="Accent5" xfId="3" builtinId="45"/>
    <cellStyle name="Accent6" xfId="4" builtinId="49"/>
    <cellStyle name="Calculation" xfId="5" builtinId="22"/>
    <cellStyle name="Hyperlink" xfId="1" builtinId="8"/>
    <cellStyle name="Normal" xfId="0" builtinId="0"/>
    <cellStyle name="Percent" xfId="6" builtinId="5"/>
  </cellStyles>
  <dxfs count="153">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ill>
        <patternFill>
          <bgColor theme="0"/>
        </patternFill>
      </fill>
      <border>
        <left style="thin">
          <color auto="1"/>
        </left>
        <right style="thin">
          <color auto="1"/>
        </right>
        <top style="thin">
          <color auto="1"/>
        </top>
        <bottom style="thin">
          <color auto="1"/>
        </bottom>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
      <font>
        <color theme="1"/>
      </font>
      <fill>
        <patternFill>
          <bgColor theme="0"/>
        </patternFill>
      </fill>
      <border>
        <left style="thin">
          <color auto="1"/>
        </left>
        <right style="thin">
          <color auto="1"/>
        </right>
        <top style="thin">
          <color auto="1"/>
        </top>
        <bottom style="thin">
          <color auto="1"/>
        </bottom>
        <vertical/>
        <horizontal/>
      </border>
    </dxf>
  </dxfs>
  <tableStyles count="0" defaultTableStyle="TableStyleMedium2" defaultPivotStyle="PivotStyleLight16"/>
  <colors>
    <mruColors>
      <color rgb="FF3E3F3F"/>
      <color rgb="FF27E3A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oneCellAnchor>
    <xdr:from>
      <xdr:col>2</xdr:col>
      <xdr:colOff>112371</xdr:colOff>
      <xdr:row>0</xdr:row>
      <xdr:rowOff>76200</xdr:rowOff>
    </xdr:from>
    <xdr:ext cx="13498854" cy="390524"/>
    <xdr:sp macro="" textlink="">
      <xdr:nvSpPr>
        <xdr:cNvPr id="2" name="Rectangle 1">
          <a:extLst>
            <a:ext uri="{FF2B5EF4-FFF2-40B4-BE49-F238E27FC236}">
              <a16:creationId xmlns:a16="http://schemas.microsoft.com/office/drawing/2014/main" id="{00000000-0008-0000-0100-000002000000}"/>
            </a:ext>
          </a:extLst>
        </xdr:cNvPr>
        <xdr:cNvSpPr/>
      </xdr:nvSpPr>
      <xdr:spPr>
        <a:xfrm>
          <a:off x="1312521" y="76200"/>
          <a:ext cx="13498854" cy="390524"/>
        </a:xfrm>
        <a:prstGeom prst="rect">
          <a:avLst/>
        </a:prstGeom>
        <a:noFill/>
      </xdr:spPr>
      <xdr:txBody>
        <a:bodyPr wrap="square" lIns="91440" tIns="45720" rIns="91440" bIns="45720">
          <a:noAutofit/>
        </a:bodyPr>
        <a:lstStyle/>
        <a:p>
          <a:pPr algn="ctr"/>
          <a:r>
            <a:rPr lang="en-US" sz="1800" b="0" cap="none" spc="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Asian CS Team Development Hub - Dasboard</a:t>
          </a:r>
        </a:p>
      </xdr:txBody>
    </xdr:sp>
    <xdr:clientData/>
  </xdr:oneCellAnchor>
  <xdr:twoCellAnchor>
    <xdr:from>
      <xdr:col>19</xdr:col>
      <xdr:colOff>647701</xdr:colOff>
      <xdr:row>3</xdr:row>
      <xdr:rowOff>47625</xdr:rowOff>
    </xdr:from>
    <xdr:to>
      <xdr:col>21</xdr:col>
      <xdr:colOff>781050</xdr:colOff>
      <xdr:row>4</xdr:row>
      <xdr:rowOff>152400</xdr:rowOff>
    </xdr:to>
    <xdr:sp macro="[0]!LoadTeamRecords" textlink="">
      <xdr:nvSpPr>
        <xdr:cNvPr id="3" name="Rounded Rectangle 2">
          <a:extLst>
            <a:ext uri="{FF2B5EF4-FFF2-40B4-BE49-F238E27FC236}">
              <a16:creationId xmlns:a16="http://schemas.microsoft.com/office/drawing/2014/main" id="{00000000-0008-0000-0100-000003000000}"/>
            </a:ext>
          </a:extLst>
        </xdr:cNvPr>
        <xdr:cNvSpPr/>
      </xdr:nvSpPr>
      <xdr:spPr>
        <a:xfrm>
          <a:off x="6905626" y="838200"/>
          <a:ext cx="1771649" cy="266700"/>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Get</a:t>
          </a:r>
          <a:r>
            <a:rPr lang="en-GB" sz="1000" baseline="0">
              <a:latin typeface="Arial" panose="020B0604020202020204" pitchFamily="34" charset="0"/>
              <a:cs typeface="Arial" panose="020B0604020202020204" pitchFamily="34" charset="0"/>
            </a:rPr>
            <a:t> Data</a:t>
          </a:r>
          <a:endParaRPr lang="en-GB" sz="1000">
            <a:latin typeface="Arial" panose="020B0604020202020204" pitchFamily="34" charset="0"/>
            <a:cs typeface="Arial" panose="020B0604020202020204" pitchFamily="34" charset="0"/>
          </a:endParaRPr>
        </a:p>
      </xdr:txBody>
    </xdr:sp>
    <xdr:clientData/>
  </xdr:twoCellAnchor>
  <xdr:twoCellAnchor>
    <xdr:from>
      <xdr:col>30</xdr:col>
      <xdr:colOff>152401</xdr:colOff>
      <xdr:row>3</xdr:row>
      <xdr:rowOff>38100</xdr:rowOff>
    </xdr:from>
    <xdr:to>
      <xdr:col>31</xdr:col>
      <xdr:colOff>952500</xdr:colOff>
      <xdr:row>4</xdr:row>
      <xdr:rowOff>142875</xdr:rowOff>
    </xdr:to>
    <xdr:sp macro="[0]!RefreshData" textlink="">
      <xdr:nvSpPr>
        <xdr:cNvPr id="5" name="Rounded Rectangle 4">
          <a:extLst>
            <a:ext uri="{FF2B5EF4-FFF2-40B4-BE49-F238E27FC236}">
              <a16:creationId xmlns:a16="http://schemas.microsoft.com/office/drawing/2014/main" id="{00000000-0008-0000-0100-000005000000}"/>
            </a:ext>
          </a:extLst>
        </xdr:cNvPr>
        <xdr:cNvSpPr/>
      </xdr:nvSpPr>
      <xdr:spPr>
        <a:xfrm>
          <a:off x="17183101" y="866775"/>
          <a:ext cx="1771649" cy="2667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Sync</a:t>
          </a:r>
          <a:r>
            <a:rPr lang="en-GB" sz="1000" baseline="0">
              <a:latin typeface="Arial" panose="020B0604020202020204" pitchFamily="34" charset="0"/>
              <a:cs typeface="Arial" panose="020B0604020202020204" pitchFamily="34" charset="0"/>
            </a:rPr>
            <a:t> Data</a:t>
          </a:r>
          <a:endParaRPr lang="en-GB" sz="1000">
            <a:latin typeface="Arial" panose="020B0604020202020204" pitchFamily="34" charset="0"/>
            <a:cs typeface="Arial" panose="020B0604020202020204" pitchFamily="34" charset="0"/>
          </a:endParaRPr>
        </a:p>
      </xdr:txBody>
    </xdr:sp>
    <xdr:clientData/>
  </xdr:twoCellAnchor>
  <xdr:oneCellAnchor>
    <xdr:from>
      <xdr:col>0</xdr:col>
      <xdr:colOff>0</xdr:colOff>
      <xdr:row>0</xdr:row>
      <xdr:rowOff>0</xdr:rowOff>
    </xdr:from>
    <xdr:ext cx="3514725" cy="447675"/>
    <xdr:sp macro="" textlink="">
      <xdr:nvSpPr>
        <xdr:cNvPr id="7" name="Rectangle 6">
          <a:extLst>
            <a:ext uri="{FF2B5EF4-FFF2-40B4-BE49-F238E27FC236}">
              <a16:creationId xmlns:a16="http://schemas.microsoft.com/office/drawing/2014/main" id="{00000000-0008-0000-0100-000007000000}"/>
            </a:ext>
          </a:extLst>
        </xdr:cNvPr>
        <xdr:cNvSpPr/>
      </xdr:nvSpPr>
      <xdr:spPr>
        <a:xfrm>
          <a:off x="0" y="0"/>
          <a:ext cx="3514725" cy="447675"/>
        </a:xfrm>
        <a:prstGeom prst="rect">
          <a:avLst/>
        </a:prstGeom>
        <a:noFill/>
      </xdr:spPr>
      <xdr:txBody>
        <a:bodyPr wrap="square" lIns="91440" tIns="45720" rIns="91440" bIns="45720">
          <a:noAutofit/>
        </a:bodyPr>
        <a:lstStyle/>
        <a:p>
          <a:pPr algn="ctr"/>
          <a:r>
            <a:rPr lang="en-US" sz="2400" b="0" cap="none" spc="0">
              <a:ln w="0"/>
              <a:solidFill>
                <a:schemeClr val="bg1"/>
              </a:solidFill>
              <a:effectLst>
                <a:outerShdw blurRad="38100" dist="19050" dir="2700000" algn="tl" rotWithShape="0">
                  <a:schemeClr val="dk1">
                    <a:alpha val="40000"/>
                  </a:schemeClr>
                </a:outerShdw>
              </a:effectLst>
              <a:latin typeface="Arial Black" panose="020B0A04020102020204" pitchFamily="34" charset="0"/>
            </a:rPr>
            <a:t>bet</a:t>
          </a:r>
          <a:r>
            <a:rPr lang="en-US" sz="2400" b="0" cap="none" spc="0">
              <a:ln w="0"/>
              <a:solidFill>
                <a:srgbClr val="FFFF00"/>
              </a:solidFill>
              <a:effectLst>
                <a:outerShdw blurRad="38100" dist="19050" dir="2700000" algn="tl" rotWithShape="0">
                  <a:schemeClr val="dk1">
                    <a:alpha val="40000"/>
                  </a:schemeClr>
                </a:outerShdw>
              </a:effectLst>
              <a:latin typeface="Arial Black" panose="020B0A04020102020204" pitchFamily="34" charset="0"/>
            </a:rPr>
            <a:t>365</a:t>
          </a:r>
        </a:p>
      </xdr:txBody>
    </xdr:sp>
    <xdr:clientData/>
  </xdr:oneCellAnchor>
  <xdr:twoCellAnchor>
    <xdr:from>
      <xdr:col>43</xdr:col>
      <xdr:colOff>476251</xdr:colOff>
      <xdr:row>3</xdr:row>
      <xdr:rowOff>114300</xdr:rowOff>
    </xdr:from>
    <xdr:to>
      <xdr:col>45</xdr:col>
      <xdr:colOff>495300</xdr:colOff>
      <xdr:row>5</xdr:row>
      <xdr:rowOff>9526</xdr:rowOff>
    </xdr:to>
    <xdr:sp macro="[0]!FetchTeamRecords" textlink="">
      <xdr:nvSpPr>
        <xdr:cNvPr id="6" name="Rounded Rectangle 5">
          <a:extLst>
            <a:ext uri="{FF2B5EF4-FFF2-40B4-BE49-F238E27FC236}">
              <a16:creationId xmlns:a16="http://schemas.microsoft.com/office/drawing/2014/main" id="{00000000-0008-0000-0100-000003000000}"/>
            </a:ext>
          </a:extLst>
        </xdr:cNvPr>
        <xdr:cNvSpPr/>
      </xdr:nvSpPr>
      <xdr:spPr>
        <a:xfrm>
          <a:off x="30299026" y="942975"/>
          <a:ext cx="1771649" cy="219076"/>
        </a:xfrm>
        <a:prstGeom prst="roundRect">
          <a:avLst/>
        </a:prstGeom>
        <a:noFill/>
        <a:ln w="9525" cap="flat" cmpd="sng" algn="ctr">
          <a:solidFill>
            <a:schemeClr val="accent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Get</a:t>
          </a:r>
          <a:r>
            <a:rPr lang="en-GB" sz="1000" baseline="0">
              <a:latin typeface="Arial" panose="020B0604020202020204" pitchFamily="34" charset="0"/>
              <a:cs typeface="Arial" panose="020B0604020202020204" pitchFamily="34" charset="0"/>
            </a:rPr>
            <a:t> Data</a:t>
          </a:r>
          <a:endParaRPr lang="en-GB" sz="1000">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2</xdr:col>
      <xdr:colOff>369546</xdr:colOff>
      <xdr:row>0</xdr:row>
      <xdr:rowOff>57150</xdr:rowOff>
    </xdr:from>
    <xdr:ext cx="13498854" cy="381000"/>
    <xdr:sp macro="" textlink="">
      <xdr:nvSpPr>
        <xdr:cNvPr id="2" name="Rectangle 1">
          <a:extLst>
            <a:ext uri="{FF2B5EF4-FFF2-40B4-BE49-F238E27FC236}">
              <a16:creationId xmlns:a16="http://schemas.microsoft.com/office/drawing/2014/main" id="{00000000-0008-0000-0200-000002000000}"/>
            </a:ext>
          </a:extLst>
        </xdr:cNvPr>
        <xdr:cNvSpPr/>
      </xdr:nvSpPr>
      <xdr:spPr>
        <a:xfrm>
          <a:off x="502896" y="57150"/>
          <a:ext cx="13498854" cy="381000"/>
        </a:xfrm>
        <a:prstGeom prst="rect">
          <a:avLst/>
        </a:prstGeom>
        <a:noFill/>
      </xdr:spPr>
      <xdr:txBody>
        <a:bodyPr wrap="square" lIns="91440" tIns="45720" rIns="91440" bIns="45720">
          <a:noAutofit/>
        </a:bodyPr>
        <a:lstStyle/>
        <a:p>
          <a:pPr algn="ctr"/>
          <a:r>
            <a:rPr lang="en-US" sz="1800" b="0">
              <a:solidFill>
                <a:srgbClr val="27E3A7"/>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Asian CS Team Development</a:t>
          </a:r>
          <a:r>
            <a:rPr lang="en-US" sz="1800" b="0" baseline="0">
              <a:solidFill>
                <a:srgbClr val="27E3A7"/>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 Hub</a:t>
          </a:r>
          <a:r>
            <a:rPr lang="en-US" sz="1800" b="0">
              <a:solidFill>
                <a:srgbClr val="27E3A7"/>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 - Performance</a:t>
          </a:r>
          <a:r>
            <a:rPr lang="en-US" sz="1800" b="0" baseline="0">
              <a:solidFill>
                <a:srgbClr val="27E3A7"/>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 Review Analysis</a:t>
          </a:r>
          <a:endParaRPr lang="en-GB" sz="1800">
            <a:solidFill>
              <a:srgbClr val="27E3A7"/>
            </a:solidFill>
            <a:effectLst/>
            <a:latin typeface="Arial" panose="020B0604020202020204" pitchFamily="34" charset="0"/>
            <a:cs typeface="Arial" panose="020B0604020202020204" pitchFamily="34" charset="0"/>
          </a:endParaRPr>
        </a:p>
      </xdr:txBody>
    </xdr:sp>
    <xdr:clientData/>
  </xdr:oneCellAnchor>
  <xdr:twoCellAnchor>
    <xdr:from>
      <xdr:col>10</xdr:col>
      <xdr:colOff>523875</xdr:colOff>
      <xdr:row>0</xdr:row>
      <xdr:rowOff>133349</xdr:rowOff>
    </xdr:from>
    <xdr:to>
      <xdr:col>11</xdr:col>
      <xdr:colOff>962025</xdr:colOff>
      <xdr:row>0</xdr:row>
      <xdr:rowOff>352424</xdr:rowOff>
    </xdr:to>
    <xdr:sp macro="[0]!LoadContactsRecords" textlink="">
      <xdr:nvSpPr>
        <xdr:cNvPr id="3" name="Rounded Rectangle 2">
          <a:extLst>
            <a:ext uri="{FF2B5EF4-FFF2-40B4-BE49-F238E27FC236}">
              <a16:creationId xmlns:a16="http://schemas.microsoft.com/office/drawing/2014/main" id="{00000000-0008-0000-0200-000003000000}"/>
            </a:ext>
          </a:extLst>
        </xdr:cNvPr>
        <xdr:cNvSpPr/>
      </xdr:nvSpPr>
      <xdr:spPr>
        <a:xfrm>
          <a:off x="10715625" y="133349"/>
          <a:ext cx="1428750" cy="219075"/>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Load Data</a:t>
          </a:r>
        </a:p>
      </xdr:txBody>
    </xdr:sp>
    <xdr:clientData/>
  </xdr:twoCellAnchor>
  <xdr:oneCellAnchor>
    <xdr:from>
      <xdr:col>0</xdr:col>
      <xdr:colOff>0</xdr:colOff>
      <xdr:row>0</xdr:row>
      <xdr:rowOff>0</xdr:rowOff>
    </xdr:from>
    <xdr:ext cx="3486150" cy="526363"/>
    <xdr:sp macro="" textlink="">
      <xdr:nvSpPr>
        <xdr:cNvPr id="6" name="Rectangle 5">
          <a:extLst>
            <a:ext uri="{FF2B5EF4-FFF2-40B4-BE49-F238E27FC236}">
              <a16:creationId xmlns:a16="http://schemas.microsoft.com/office/drawing/2014/main" id="{00000000-0008-0000-0200-000006000000}"/>
            </a:ext>
          </a:extLst>
        </xdr:cNvPr>
        <xdr:cNvSpPr/>
      </xdr:nvSpPr>
      <xdr:spPr>
        <a:xfrm>
          <a:off x="0" y="0"/>
          <a:ext cx="3486150" cy="526363"/>
        </a:xfrm>
        <a:prstGeom prst="rect">
          <a:avLst/>
        </a:prstGeom>
        <a:noFill/>
      </xdr:spPr>
      <xdr:txBody>
        <a:bodyPr wrap="square" lIns="91440" tIns="45720" rIns="91440" bIns="45720">
          <a:spAutoFit/>
        </a:bodyPr>
        <a:lstStyle/>
        <a:p>
          <a:pPr algn="ctr"/>
          <a:r>
            <a:rPr lang="en-US" sz="2400" b="0" cap="none" spc="0">
              <a:ln w="0"/>
              <a:solidFill>
                <a:schemeClr val="bg1"/>
              </a:solidFill>
              <a:effectLst>
                <a:outerShdw blurRad="38100" dist="19050" dir="2700000" algn="tl" rotWithShape="0">
                  <a:schemeClr val="dk1">
                    <a:alpha val="40000"/>
                  </a:schemeClr>
                </a:outerShdw>
              </a:effectLst>
              <a:latin typeface="Arial Black" panose="020B0A04020102020204" pitchFamily="34" charset="0"/>
            </a:rPr>
            <a:t>bet</a:t>
          </a:r>
          <a:r>
            <a:rPr lang="en-US" sz="2400" b="0" cap="none" spc="0">
              <a:ln w="0"/>
              <a:solidFill>
                <a:srgbClr val="FFFF00"/>
              </a:solidFill>
              <a:effectLst>
                <a:outerShdw blurRad="38100" dist="19050" dir="2700000" algn="tl" rotWithShape="0">
                  <a:schemeClr val="dk1">
                    <a:alpha val="40000"/>
                  </a:schemeClr>
                </a:outerShdw>
              </a:effectLst>
              <a:latin typeface="Arial Black" panose="020B0A04020102020204" pitchFamily="34" charset="0"/>
            </a:rPr>
            <a:t>365</a:t>
          </a: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3</xdr:col>
      <xdr:colOff>331446</xdr:colOff>
      <xdr:row>0</xdr:row>
      <xdr:rowOff>0</xdr:rowOff>
    </xdr:from>
    <xdr:ext cx="13898904" cy="357790"/>
    <xdr:sp macro="" textlink="">
      <xdr:nvSpPr>
        <xdr:cNvPr id="2" name="Rectangle 1">
          <a:extLst>
            <a:ext uri="{FF2B5EF4-FFF2-40B4-BE49-F238E27FC236}">
              <a16:creationId xmlns:a16="http://schemas.microsoft.com/office/drawing/2014/main" id="{00000000-0008-0000-0300-000002000000}"/>
            </a:ext>
          </a:extLst>
        </xdr:cNvPr>
        <xdr:cNvSpPr/>
      </xdr:nvSpPr>
      <xdr:spPr>
        <a:xfrm>
          <a:off x="1588746" y="0"/>
          <a:ext cx="13898904" cy="357790"/>
        </a:xfrm>
        <a:prstGeom prst="rect">
          <a:avLst/>
        </a:prstGeom>
        <a:noFill/>
      </xdr:spPr>
      <xdr:txBody>
        <a:bodyPr wrap="square" lIns="91440" tIns="45720" rIns="91440" bIns="45720">
          <a:spAutoFit/>
        </a:bodyPr>
        <a:lstStyle/>
        <a:p>
          <a:pPr algn="ctr"/>
          <a:r>
            <a:rPr lang="en-US" sz="1800" b="0" cap="none" spc="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Asian CS</a:t>
          </a:r>
          <a:r>
            <a:rPr lang="en-US" sz="1800" b="0" cap="none" spc="0" baseline="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Team Development Hub - TL </a:t>
          </a:r>
          <a:r>
            <a:rPr lang="en-US" sz="1800" b="0" cap="none" spc="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TD Planner</a:t>
          </a:r>
        </a:p>
      </xdr:txBody>
    </xdr:sp>
    <xdr:clientData/>
  </xdr:oneCellAnchor>
  <xdr:twoCellAnchor>
    <xdr:from>
      <xdr:col>6</xdr:col>
      <xdr:colOff>123822</xdr:colOff>
      <xdr:row>1</xdr:row>
      <xdr:rowOff>133350</xdr:rowOff>
    </xdr:from>
    <xdr:to>
      <xdr:col>8</xdr:col>
      <xdr:colOff>638174</xdr:colOff>
      <xdr:row>3</xdr:row>
      <xdr:rowOff>28575</xdr:rowOff>
    </xdr:to>
    <xdr:sp macro="[0]!LoadWeeklyData" textlink="">
      <xdr:nvSpPr>
        <xdr:cNvPr id="5" name="Rounded Rectangle 4">
          <a:extLst>
            <a:ext uri="{FF2B5EF4-FFF2-40B4-BE49-F238E27FC236}">
              <a16:creationId xmlns:a16="http://schemas.microsoft.com/office/drawing/2014/main" id="{00000000-0008-0000-0300-000005000000}"/>
            </a:ext>
          </a:extLst>
        </xdr:cNvPr>
        <xdr:cNvSpPr/>
      </xdr:nvSpPr>
      <xdr:spPr>
        <a:xfrm>
          <a:off x="2438397" y="638175"/>
          <a:ext cx="1876427" cy="219075"/>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Load  TD Planner</a:t>
          </a:r>
        </a:p>
      </xdr:txBody>
    </xdr:sp>
    <xdr:clientData/>
  </xdr:twoCellAnchor>
  <xdr:oneCellAnchor>
    <xdr:from>
      <xdr:col>0</xdr:col>
      <xdr:colOff>0</xdr:colOff>
      <xdr:row>0</xdr:row>
      <xdr:rowOff>0</xdr:rowOff>
    </xdr:from>
    <xdr:ext cx="3533774" cy="447675"/>
    <xdr:sp macro="" textlink="">
      <xdr:nvSpPr>
        <xdr:cNvPr id="7" name="Rectangle 6">
          <a:extLst>
            <a:ext uri="{FF2B5EF4-FFF2-40B4-BE49-F238E27FC236}">
              <a16:creationId xmlns:a16="http://schemas.microsoft.com/office/drawing/2014/main" id="{00000000-0008-0000-0300-000007000000}"/>
            </a:ext>
          </a:extLst>
        </xdr:cNvPr>
        <xdr:cNvSpPr/>
      </xdr:nvSpPr>
      <xdr:spPr>
        <a:xfrm>
          <a:off x="0" y="0"/>
          <a:ext cx="3533774" cy="447675"/>
        </a:xfrm>
        <a:prstGeom prst="rect">
          <a:avLst/>
        </a:prstGeom>
        <a:noFill/>
      </xdr:spPr>
      <xdr:txBody>
        <a:bodyPr wrap="square" lIns="91440" tIns="45720" rIns="91440" bIns="45720">
          <a:noAutofit/>
        </a:bodyPr>
        <a:lstStyle/>
        <a:p>
          <a:pPr algn="ctr"/>
          <a:r>
            <a:rPr lang="en-US" sz="2400" b="0" cap="none" spc="0">
              <a:ln w="0"/>
              <a:solidFill>
                <a:schemeClr val="bg1"/>
              </a:solidFill>
              <a:effectLst>
                <a:outerShdw blurRad="38100" dist="19050" dir="2700000" algn="tl" rotWithShape="0">
                  <a:schemeClr val="dk1">
                    <a:alpha val="40000"/>
                  </a:schemeClr>
                </a:outerShdw>
              </a:effectLst>
              <a:latin typeface="Arial Black" panose="020B0A04020102020204" pitchFamily="34" charset="0"/>
            </a:rPr>
            <a:t>bet</a:t>
          </a:r>
          <a:r>
            <a:rPr lang="en-US" sz="2400" b="0" cap="none" spc="0">
              <a:ln w="0"/>
              <a:solidFill>
                <a:srgbClr val="FFFF00"/>
              </a:solidFill>
              <a:effectLst>
                <a:outerShdw blurRad="38100" dist="19050" dir="2700000" algn="tl" rotWithShape="0">
                  <a:schemeClr val="dk1">
                    <a:alpha val="40000"/>
                  </a:schemeClr>
                </a:outerShdw>
              </a:effectLst>
              <a:latin typeface="Arial Black" panose="020B0A04020102020204" pitchFamily="34" charset="0"/>
            </a:rPr>
            <a:t>365</a:t>
          </a: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2</xdr:col>
      <xdr:colOff>245721</xdr:colOff>
      <xdr:row>0</xdr:row>
      <xdr:rowOff>0</xdr:rowOff>
    </xdr:from>
    <xdr:ext cx="13498854" cy="357790"/>
    <xdr:sp macro="" textlink="">
      <xdr:nvSpPr>
        <xdr:cNvPr id="2" name="Rectangle 1">
          <a:extLst>
            <a:ext uri="{FF2B5EF4-FFF2-40B4-BE49-F238E27FC236}">
              <a16:creationId xmlns:a16="http://schemas.microsoft.com/office/drawing/2014/main" id="{00000000-0008-0000-0400-000002000000}"/>
            </a:ext>
          </a:extLst>
        </xdr:cNvPr>
        <xdr:cNvSpPr/>
      </xdr:nvSpPr>
      <xdr:spPr>
        <a:xfrm>
          <a:off x="540996" y="0"/>
          <a:ext cx="13498854" cy="357790"/>
        </a:xfrm>
        <a:prstGeom prst="rect">
          <a:avLst/>
        </a:prstGeom>
        <a:noFill/>
      </xdr:spPr>
      <xdr:txBody>
        <a:bodyPr wrap="square" lIns="91440" tIns="45720" rIns="91440" bIns="45720">
          <a:spAutoFit/>
        </a:bodyPr>
        <a:lstStyle/>
        <a:p>
          <a:pPr algn="ctr"/>
          <a:r>
            <a:rPr lang="en-US" sz="1800" b="0" cap="none" spc="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Asian</a:t>
          </a:r>
          <a:r>
            <a:rPr lang="en-US" sz="1800" b="0" cap="none" spc="0" baseline="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CS Team Development Hub </a:t>
          </a:r>
          <a:r>
            <a:rPr lang="en-US" sz="1800" b="0" cap="none" spc="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Creat</a:t>
          </a:r>
          <a:r>
            <a:rPr lang="en-US" sz="1800" b="0" cap="none" spc="0" baseline="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an </a:t>
          </a:r>
          <a:r>
            <a:rPr lang="en-US" sz="1800" b="0" cap="none" spc="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New Bonus Review File</a:t>
          </a:r>
        </a:p>
      </xdr:txBody>
    </xdr:sp>
    <xdr:clientData/>
  </xdr:oneCellAnchor>
  <xdr:twoCellAnchor>
    <xdr:from>
      <xdr:col>7</xdr:col>
      <xdr:colOff>847725</xdr:colOff>
      <xdr:row>1</xdr:row>
      <xdr:rowOff>104776</xdr:rowOff>
    </xdr:from>
    <xdr:to>
      <xdr:col>9</xdr:col>
      <xdr:colOff>219075</xdr:colOff>
      <xdr:row>2</xdr:row>
      <xdr:rowOff>152400</xdr:rowOff>
    </xdr:to>
    <xdr:sp macro="[0]!btn_create_Click" textlink="">
      <xdr:nvSpPr>
        <xdr:cNvPr id="3" name="Rounded Rectangle 2">
          <a:extLst>
            <a:ext uri="{FF2B5EF4-FFF2-40B4-BE49-F238E27FC236}">
              <a16:creationId xmlns:a16="http://schemas.microsoft.com/office/drawing/2014/main" id="{00000000-0008-0000-0400-000003000000}"/>
            </a:ext>
          </a:extLst>
        </xdr:cNvPr>
        <xdr:cNvSpPr/>
      </xdr:nvSpPr>
      <xdr:spPr>
        <a:xfrm>
          <a:off x="5705475" y="571501"/>
          <a:ext cx="1952625" cy="209549"/>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Create New</a:t>
          </a:r>
          <a:r>
            <a:rPr lang="en-GB" sz="1000" baseline="0">
              <a:latin typeface="Arial" panose="020B0604020202020204" pitchFamily="34" charset="0"/>
              <a:cs typeface="Arial" panose="020B0604020202020204" pitchFamily="34" charset="0"/>
            </a:rPr>
            <a:t> File</a:t>
          </a:r>
          <a:endParaRPr lang="en-GB" sz="1000">
            <a:latin typeface="Arial" panose="020B0604020202020204" pitchFamily="34" charset="0"/>
            <a:cs typeface="Arial" panose="020B0604020202020204" pitchFamily="34" charset="0"/>
          </a:endParaRPr>
        </a:p>
      </xdr:txBody>
    </xdr:sp>
    <xdr:clientData/>
  </xdr:twoCellAnchor>
  <xdr:twoCellAnchor>
    <xdr:from>
      <xdr:col>12</xdr:col>
      <xdr:colOff>0</xdr:colOff>
      <xdr:row>8</xdr:row>
      <xdr:rowOff>161924</xdr:rowOff>
    </xdr:from>
    <xdr:to>
      <xdr:col>12</xdr:col>
      <xdr:colOff>1514475</xdr:colOff>
      <xdr:row>10</xdr:row>
      <xdr:rowOff>19050</xdr:rowOff>
    </xdr:to>
    <xdr:sp macro="[0]!SelectFolder1" textlink="">
      <xdr:nvSpPr>
        <xdr:cNvPr id="4" name="Rounded Rectangle 3">
          <a:extLst>
            <a:ext uri="{FF2B5EF4-FFF2-40B4-BE49-F238E27FC236}">
              <a16:creationId xmlns:a16="http://schemas.microsoft.com/office/drawing/2014/main" id="{00000000-0008-0000-0400-000004000000}"/>
            </a:ext>
          </a:extLst>
        </xdr:cNvPr>
        <xdr:cNvSpPr/>
      </xdr:nvSpPr>
      <xdr:spPr>
        <a:xfrm>
          <a:off x="10172700" y="1762124"/>
          <a:ext cx="1514475" cy="180976"/>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Select Folder</a:t>
          </a:r>
        </a:p>
      </xdr:txBody>
    </xdr:sp>
    <xdr:clientData/>
  </xdr:twoCellAnchor>
  <xdr:oneCellAnchor>
    <xdr:from>
      <xdr:col>0</xdr:col>
      <xdr:colOff>0</xdr:colOff>
      <xdr:row>0</xdr:row>
      <xdr:rowOff>0</xdr:rowOff>
    </xdr:from>
    <xdr:ext cx="2086630" cy="447675"/>
    <xdr:sp macro="" textlink="">
      <xdr:nvSpPr>
        <xdr:cNvPr id="5" name="Rectangle 4">
          <a:extLst>
            <a:ext uri="{FF2B5EF4-FFF2-40B4-BE49-F238E27FC236}">
              <a16:creationId xmlns:a16="http://schemas.microsoft.com/office/drawing/2014/main" id="{00000000-0008-0000-0400-000005000000}"/>
            </a:ext>
          </a:extLst>
        </xdr:cNvPr>
        <xdr:cNvSpPr/>
      </xdr:nvSpPr>
      <xdr:spPr>
        <a:xfrm>
          <a:off x="0" y="0"/>
          <a:ext cx="2086630" cy="447675"/>
        </a:xfrm>
        <a:prstGeom prst="rect">
          <a:avLst/>
        </a:prstGeom>
        <a:noFill/>
      </xdr:spPr>
      <xdr:txBody>
        <a:bodyPr wrap="square" lIns="91440" tIns="45720" rIns="91440" bIns="45720">
          <a:noAutofit/>
        </a:bodyPr>
        <a:lstStyle/>
        <a:p>
          <a:pPr algn="ctr"/>
          <a:r>
            <a:rPr lang="en-US" sz="2400" b="0" cap="none" spc="0">
              <a:ln w="0"/>
              <a:solidFill>
                <a:schemeClr val="bg1"/>
              </a:solidFill>
              <a:effectLst>
                <a:outerShdw blurRad="38100" dist="19050" dir="2700000" algn="tl" rotWithShape="0">
                  <a:schemeClr val="dk1">
                    <a:alpha val="40000"/>
                  </a:schemeClr>
                </a:outerShdw>
              </a:effectLst>
              <a:latin typeface="Arial Black" panose="020B0A04020102020204" pitchFamily="34" charset="0"/>
            </a:rPr>
            <a:t>bet</a:t>
          </a:r>
          <a:r>
            <a:rPr lang="en-US" sz="2400" b="0" cap="none" spc="0">
              <a:ln w="0"/>
              <a:solidFill>
                <a:srgbClr val="FFFF00"/>
              </a:solidFill>
              <a:effectLst>
                <a:outerShdw blurRad="38100" dist="19050" dir="2700000" algn="tl" rotWithShape="0">
                  <a:schemeClr val="dk1">
                    <a:alpha val="40000"/>
                  </a:schemeClr>
                </a:outerShdw>
              </a:effectLst>
              <a:latin typeface="Arial Black" panose="020B0A04020102020204" pitchFamily="34" charset="0"/>
            </a:rPr>
            <a:t>365</a:t>
          </a: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2</xdr:col>
      <xdr:colOff>245721</xdr:colOff>
      <xdr:row>0</xdr:row>
      <xdr:rowOff>0</xdr:rowOff>
    </xdr:from>
    <xdr:ext cx="13498854" cy="357790"/>
    <xdr:sp macro="" textlink="">
      <xdr:nvSpPr>
        <xdr:cNvPr id="2" name="Rectangle 1">
          <a:extLst>
            <a:ext uri="{FF2B5EF4-FFF2-40B4-BE49-F238E27FC236}">
              <a16:creationId xmlns:a16="http://schemas.microsoft.com/office/drawing/2014/main" id="{00000000-0008-0000-0600-000002000000}"/>
            </a:ext>
          </a:extLst>
        </xdr:cNvPr>
        <xdr:cNvSpPr/>
      </xdr:nvSpPr>
      <xdr:spPr>
        <a:xfrm>
          <a:off x="540996" y="0"/>
          <a:ext cx="13498854" cy="357790"/>
        </a:xfrm>
        <a:prstGeom prst="rect">
          <a:avLst/>
        </a:prstGeom>
        <a:noFill/>
      </xdr:spPr>
      <xdr:txBody>
        <a:bodyPr wrap="square" lIns="91440" tIns="45720" rIns="91440" bIns="45720">
          <a:spAutoFit/>
        </a:bodyPr>
        <a:lstStyle/>
        <a:p>
          <a:pPr algn="ctr"/>
          <a:r>
            <a:rPr lang="en-US" sz="1800" b="0" cap="none" spc="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Asian CS</a:t>
          </a:r>
          <a:r>
            <a:rPr lang="en-US" sz="1800" b="0" cap="none" spc="0" baseline="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a:t>
          </a:r>
          <a:r>
            <a:rPr lang="en-US" sz="1800" b="0" cap="none" spc="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Team Development Hub - Add an</a:t>
          </a:r>
          <a:r>
            <a:rPr lang="en-US" sz="1800" b="0" cap="none" spc="0" baseline="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Existing</a:t>
          </a:r>
          <a:r>
            <a:rPr lang="en-US" sz="1800" b="0" cap="none" spc="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Bonus Review File</a:t>
          </a:r>
        </a:p>
      </xdr:txBody>
    </xdr:sp>
    <xdr:clientData/>
  </xdr:oneCellAnchor>
  <xdr:twoCellAnchor>
    <xdr:from>
      <xdr:col>7</xdr:col>
      <xdr:colOff>838200</xdr:colOff>
      <xdr:row>1</xdr:row>
      <xdr:rowOff>104775</xdr:rowOff>
    </xdr:from>
    <xdr:to>
      <xdr:col>9</xdr:col>
      <xdr:colOff>152400</xdr:colOff>
      <xdr:row>2</xdr:row>
      <xdr:rowOff>180975</xdr:rowOff>
    </xdr:to>
    <xdr:sp macro="[0]!LinkaExistingFile" textlink="">
      <xdr:nvSpPr>
        <xdr:cNvPr id="3" name="Rounded Rectangle 2">
          <a:extLst>
            <a:ext uri="{FF2B5EF4-FFF2-40B4-BE49-F238E27FC236}">
              <a16:creationId xmlns:a16="http://schemas.microsoft.com/office/drawing/2014/main" id="{00000000-0008-0000-0600-000003000000}"/>
            </a:ext>
          </a:extLst>
        </xdr:cNvPr>
        <xdr:cNvSpPr/>
      </xdr:nvSpPr>
      <xdr:spPr>
        <a:xfrm>
          <a:off x="5695950" y="600075"/>
          <a:ext cx="1895475" cy="266700"/>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Submit</a:t>
          </a:r>
        </a:p>
      </xdr:txBody>
    </xdr:sp>
    <xdr:clientData/>
  </xdr:twoCellAnchor>
  <xdr:oneCellAnchor>
    <xdr:from>
      <xdr:col>0</xdr:col>
      <xdr:colOff>0</xdr:colOff>
      <xdr:row>0</xdr:row>
      <xdr:rowOff>0</xdr:rowOff>
    </xdr:from>
    <xdr:ext cx="3600450" cy="447675"/>
    <xdr:sp macro="" textlink="">
      <xdr:nvSpPr>
        <xdr:cNvPr id="5" name="Rectangle 4">
          <a:extLst>
            <a:ext uri="{FF2B5EF4-FFF2-40B4-BE49-F238E27FC236}">
              <a16:creationId xmlns:a16="http://schemas.microsoft.com/office/drawing/2014/main" id="{00000000-0008-0000-0600-000005000000}"/>
            </a:ext>
          </a:extLst>
        </xdr:cNvPr>
        <xdr:cNvSpPr/>
      </xdr:nvSpPr>
      <xdr:spPr>
        <a:xfrm>
          <a:off x="0" y="0"/>
          <a:ext cx="3600450" cy="447675"/>
        </a:xfrm>
        <a:prstGeom prst="rect">
          <a:avLst/>
        </a:prstGeom>
        <a:noFill/>
      </xdr:spPr>
      <xdr:txBody>
        <a:bodyPr wrap="square" lIns="91440" tIns="45720" rIns="91440" bIns="45720">
          <a:noAutofit/>
        </a:bodyPr>
        <a:lstStyle/>
        <a:p>
          <a:pPr algn="ctr"/>
          <a:r>
            <a:rPr lang="en-US" sz="2400" b="0" cap="none" spc="0">
              <a:ln w="0"/>
              <a:solidFill>
                <a:schemeClr val="bg1"/>
              </a:solidFill>
              <a:effectLst>
                <a:outerShdw blurRad="38100" dist="19050" dir="2700000" algn="tl" rotWithShape="0">
                  <a:schemeClr val="dk1">
                    <a:alpha val="40000"/>
                  </a:schemeClr>
                </a:outerShdw>
              </a:effectLst>
              <a:latin typeface="Arial Black" panose="020B0A04020102020204" pitchFamily="34" charset="0"/>
            </a:rPr>
            <a:t>bet</a:t>
          </a:r>
          <a:r>
            <a:rPr lang="en-US" sz="2400" b="0" cap="none" spc="0">
              <a:ln w="0"/>
              <a:solidFill>
                <a:srgbClr val="FFFF00"/>
              </a:solidFill>
              <a:effectLst>
                <a:outerShdw blurRad="38100" dist="19050" dir="2700000" algn="tl" rotWithShape="0">
                  <a:schemeClr val="dk1">
                    <a:alpha val="40000"/>
                  </a:schemeClr>
                </a:outerShdw>
              </a:effectLst>
              <a:latin typeface="Arial Black" panose="020B0A04020102020204" pitchFamily="34" charset="0"/>
            </a:rPr>
            <a:t>365</a:t>
          </a: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11</xdr:col>
      <xdr:colOff>9524</xdr:colOff>
      <xdr:row>0</xdr:row>
      <xdr:rowOff>142875</xdr:rowOff>
    </xdr:from>
    <xdr:to>
      <xdr:col>12</xdr:col>
      <xdr:colOff>323850</xdr:colOff>
      <xdr:row>0</xdr:row>
      <xdr:rowOff>352425</xdr:rowOff>
    </xdr:to>
    <xdr:sp macro="[0]!LoadStaffDetails" textlink="">
      <xdr:nvSpPr>
        <xdr:cNvPr id="3" name="Rounded Rectangle 2">
          <a:extLst>
            <a:ext uri="{FF2B5EF4-FFF2-40B4-BE49-F238E27FC236}">
              <a16:creationId xmlns:a16="http://schemas.microsoft.com/office/drawing/2014/main" id="{00000000-0008-0000-0A00-000003000000}"/>
            </a:ext>
          </a:extLst>
        </xdr:cNvPr>
        <xdr:cNvSpPr/>
      </xdr:nvSpPr>
      <xdr:spPr>
        <a:xfrm>
          <a:off x="11830049" y="142875"/>
          <a:ext cx="1409701" cy="209550"/>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Load Staff Details</a:t>
          </a:r>
        </a:p>
      </xdr:txBody>
    </xdr:sp>
    <xdr:clientData/>
  </xdr:twoCellAnchor>
  <xdr:twoCellAnchor>
    <xdr:from>
      <xdr:col>12</xdr:col>
      <xdr:colOff>1790701</xdr:colOff>
      <xdr:row>0</xdr:row>
      <xdr:rowOff>152400</xdr:rowOff>
    </xdr:from>
    <xdr:to>
      <xdr:col>13</xdr:col>
      <xdr:colOff>895351</xdr:colOff>
      <xdr:row>0</xdr:row>
      <xdr:rowOff>361950</xdr:rowOff>
    </xdr:to>
    <xdr:sp macro="[0]!UpdateStaffDetails" textlink="">
      <xdr:nvSpPr>
        <xdr:cNvPr id="4" name="Rounded Rectangle 3">
          <a:extLst>
            <a:ext uri="{FF2B5EF4-FFF2-40B4-BE49-F238E27FC236}">
              <a16:creationId xmlns:a16="http://schemas.microsoft.com/office/drawing/2014/main" id="{00000000-0008-0000-0A00-000004000000}"/>
            </a:ext>
          </a:extLst>
        </xdr:cNvPr>
        <xdr:cNvSpPr/>
      </xdr:nvSpPr>
      <xdr:spPr>
        <a:xfrm>
          <a:off x="14954251" y="152400"/>
          <a:ext cx="1409700" cy="209550"/>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Update Staff</a:t>
          </a:r>
          <a:r>
            <a:rPr lang="en-GB" sz="1000" baseline="0">
              <a:latin typeface="Arial" panose="020B0604020202020204" pitchFamily="34" charset="0"/>
              <a:cs typeface="Arial" panose="020B0604020202020204" pitchFamily="34" charset="0"/>
            </a:rPr>
            <a:t> Details</a:t>
          </a:r>
        </a:p>
      </xdr:txBody>
    </xdr:sp>
    <xdr:clientData/>
  </xdr:twoCellAnchor>
  <xdr:twoCellAnchor>
    <xdr:from>
      <xdr:col>15</xdr:col>
      <xdr:colOff>28575</xdr:colOff>
      <xdr:row>0</xdr:row>
      <xdr:rowOff>152400</xdr:rowOff>
    </xdr:from>
    <xdr:to>
      <xdr:col>15</xdr:col>
      <xdr:colOff>914400</xdr:colOff>
      <xdr:row>0</xdr:row>
      <xdr:rowOff>361949</xdr:rowOff>
    </xdr:to>
    <xdr:sp macro="[0]!ClearStaffDetails" textlink="">
      <xdr:nvSpPr>
        <xdr:cNvPr id="5" name="Rounded Rectangle 4">
          <a:extLst>
            <a:ext uri="{FF2B5EF4-FFF2-40B4-BE49-F238E27FC236}">
              <a16:creationId xmlns:a16="http://schemas.microsoft.com/office/drawing/2014/main" id="{00000000-0008-0000-0A00-000005000000}"/>
            </a:ext>
          </a:extLst>
        </xdr:cNvPr>
        <xdr:cNvSpPr/>
      </xdr:nvSpPr>
      <xdr:spPr>
        <a:xfrm>
          <a:off x="16230600" y="152400"/>
          <a:ext cx="885825" cy="209549"/>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Remove</a:t>
          </a:r>
        </a:p>
      </xdr:txBody>
    </xdr:sp>
    <xdr:clientData/>
  </xdr:twoCellAnchor>
  <xdr:twoCellAnchor>
    <xdr:from>
      <xdr:col>11</xdr:col>
      <xdr:colOff>476250</xdr:colOff>
      <xdr:row>18</xdr:row>
      <xdr:rowOff>133350</xdr:rowOff>
    </xdr:from>
    <xdr:to>
      <xdr:col>12</xdr:col>
      <xdr:colOff>1905000</xdr:colOff>
      <xdr:row>20</xdr:row>
      <xdr:rowOff>57150</xdr:rowOff>
    </xdr:to>
    <xdr:sp macro="[0]!LoadStaffRecords" textlink="">
      <xdr:nvSpPr>
        <xdr:cNvPr id="6" name="Rounded Rectangle 5">
          <a:extLst>
            <a:ext uri="{FF2B5EF4-FFF2-40B4-BE49-F238E27FC236}">
              <a16:creationId xmlns:a16="http://schemas.microsoft.com/office/drawing/2014/main" id="{00000000-0008-0000-0A00-000006000000}"/>
            </a:ext>
          </a:extLst>
        </xdr:cNvPr>
        <xdr:cNvSpPr/>
      </xdr:nvSpPr>
      <xdr:spPr>
        <a:xfrm>
          <a:off x="12573000" y="2409825"/>
          <a:ext cx="2495550" cy="2476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Load Performance</a:t>
          </a:r>
          <a:r>
            <a:rPr lang="en-GB" sz="1000" baseline="0">
              <a:latin typeface="Arial" panose="020B0604020202020204" pitchFamily="34" charset="0"/>
              <a:cs typeface="Arial" panose="020B0604020202020204" pitchFamily="34" charset="0"/>
            </a:rPr>
            <a:t> Review Data</a:t>
          </a:r>
          <a:endParaRPr lang="en-GB" sz="1000">
            <a:latin typeface="Arial" panose="020B0604020202020204" pitchFamily="34" charset="0"/>
            <a:cs typeface="Arial" panose="020B0604020202020204" pitchFamily="34" charset="0"/>
          </a:endParaRPr>
        </a:p>
      </xdr:txBody>
    </xdr:sp>
    <xdr:clientData/>
  </xdr:twoCellAnchor>
  <xdr:oneCellAnchor>
    <xdr:from>
      <xdr:col>2</xdr:col>
      <xdr:colOff>45696</xdr:colOff>
      <xdr:row>0</xdr:row>
      <xdr:rowOff>38100</xdr:rowOff>
    </xdr:from>
    <xdr:ext cx="14375154" cy="390524"/>
    <xdr:sp macro="" textlink="">
      <xdr:nvSpPr>
        <xdr:cNvPr id="7" name="Rectangle 6">
          <a:extLst>
            <a:ext uri="{FF2B5EF4-FFF2-40B4-BE49-F238E27FC236}">
              <a16:creationId xmlns:a16="http://schemas.microsoft.com/office/drawing/2014/main" id="{00000000-0008-0000-0A00-000007000000}"/>
            </a:ext>
          </a:extLst>
        </xdr:cNvPr>
        <xdr:cNvSpPr/>
      </xdr:nvSpPr>
      <xdr:spPr>
        <a:xfrm>
          <a:off x="1245846" y="38100"/>
          <a:ext cx="14375154" cy="390524"/>
        </a:xfrm>
        <a:prstGeom prst="rect">
          <a:avLst/>
        </a:prstGeom>
        <a:noFill/>
      </xdr:spPr>
      <xdr:txBody>
        <a:bodyPr wrap="square" lIns="91440" tIns="45720" rIns="91440" bIns="45720">
          <a:noAutofit/>
        </a:bodyPr>
        <a:lstStyle/>
        <a:p>
          <a:pPr algn="ctr"/>
          <a:r>
            <a:rPr lang="en-US" sz="1800" b="0" cap="none" spc="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Asian CS</a:t>
          </a:r>
          <a:r>
            <a:rPr lang="en-US" sz="1800" b="0" cap="none" spc="0" baseline="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a:t>
          </a:r>
          <a:r>
            <a:rPr lang="en-US" sz="1800" b="0" cap="none" spc="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Team Development</a:t>
          </a:r>
          <a:r>
            <a:rPr lang="en-US" sz="1800" b="0" cap="none" spc="0" baseline="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Hub </a:t>
          </a:r>
          <a:r>
            <a:rPr lang="en-US" sz="1800" b="0" cap="none" spc="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Staff Record</a:t>
          </a:r>
        </a:p>
      </xdr:txBody>
    </xdr:sp>
    <xdr:clientData/>
  </xdr:oneCellAnchor>
  <xdr:oneCellAnchor>
    <xdr:from>
      <xdr:col>0</xdr:col>
      <xdr:colOff>0</xdr:colOff>
      <xdr:row>0</xdr:row>
      <xdr:rowOff>0</xdr:rowOff>
    </xdr:from>
    <xdr:ext cx="3600450" cy="447675"/>
    <xdr:sp macro="" textlink="">
      <xdr:nvSpPr>
        <xdr:cNvPr id="8" name="Rectangle 7">
          <a:extLst>
            <a:ext uri="{FF2B5EF4-FFF2-40B4-BE49-F238E27FC236}">
              <a16:creationId xmlns:a16="http://schemas.microsoft.com/office/drawing/2014/main" id="{00000000-0008-0000-0A00-000008000000}"/>
            </a:ext>
          </a:extLst>
        </xdr:cNvPr>
        <xdr:cNvSpPr/>
      </xdr:nvSpPr>
      <xdr:spPr>
        <a:xfrm>
          <a:off x="0" y="0"/>
          <a:ext cx="3600450" cy="447675"/>
        </a:xfrm>
        <a:prstGeom prst="rect">
          <a:avLst/>
        </a:prstGeom>
        <a:noFill/>
      </xdr:spPr>
      <xdr:txBody>
        <a:bodyPr wrap="square" lIns="91440" tIns="45720" rIns="91440" bIns="45720">
          <a:noAutofit/>
        </a:bodyPr>
        <a:lstStyle/>
        <a:p>
          <a:pPr algn="ctr"/>
          <a:r>
            <a:rPr lang="en-US" sz="2400" b="0" cap="none" spc="0">
              <a:ln w="0"/>
              <a:solidFill>
                <a:schemeClr val="bg1"/>
              </a:solidFill>
              <a:effectLst>
                <a:outerShdw blurRad="38100" dist="19050" dir="2700000" algn="tl" rotWithShape="0">
                  <a:schemeClr val="dk1">
                    <a:alpha val="40000"/>
                  </a:schemeClr>
                </a:outerShdw>
              </a:effectLst>
              <a:latin typeface="Arial Black" panose="020B0A04020102020204" pitchFamily="34" charset="0"/>
            </a:rPr>
            <a:t>bet</a:t>
          </a:r>
          <a:r>
            <a:rPr lang="en-US" sz="2400" b="0" cap="none" spc="0">
              <a:ln w="0"/>
              <a:solidFill>
                <a:srgbClr val="FFFF00"/>
              </a:solidFill>
              <a:effectLst>
                <a:outerShdw blurRad="38100" dist="19050" dir="2700000" algn="tl" rotWithShape="0">
                  <a:schemeClr val="dk1">
                    <a:alpha val="40000"/>
                  </a:schemeClr>
                </a:outerShdw>
              </a:effectLst>
              <a:latin typeface="Arial Black" panose="020B0A04020102020204" pitchFamily="34" charset="0"/>
            </a:rPr>
            <a:t>365</a:t>
          </a:r>
        </a:p>
      </xdr:txBody>
    </xdr:sp>
    <xdr:clientData/>
  </xdr:oneCellAnchor>
  <xdr:twoCellAnchor>
    <xdr:from>
      <xdr:col>12</xdr:col>
      <xdr:colOff>438150</xdr:colOff>
      <xdr:row>15</xdr:row>
      <xdr:rowOff>47625</xdr:rowOff>
    </xdr:from>
    <xdr:to>
      <xdr:col>14</xdr:col>
      <xdr:colOff>28575</xdr:colOff>
      <xdr:row>16</xdr:row>
      <xdr:rowOff>95250</xdr:rowOff>
    </xdr:to>
    <xdr:sp macro="[0]!AddStaffLogFile" textlink="">
      <xdr:nvSpPr>
        <xdr:cNvPr id="9" name="Rounded Rectangle 8">
          <a:extLst>
            <a:ext uri="{FF2B5EF4-FFF2-40B4-BE49-F238E27FC236}">
              <a16:creationId xmlns:a16="http://schemas.microsoft.com/office/drawing/2014/main" id="{00000000-0008-0000-0A00-000009000000}"/>
            </a:ext>
          </a:extLst>
        </xdr:cNvPr>
        <xdr:cNvSpPr/>
      </xdr:nvSpPr>
      <xdr:spPr>
        <a:xfrm>
          <a:off x="13601700" y="2809875"/>
          <a:ext cx="2828925" cy="20955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Add</a:t>
          </a:r>
          <a:r>
            <a:rPr lang="en-GB" sz="1000" baseline="0">
              <a:latin typeface="Arial" panose="020B0604020202020204" pitchFamily="34" charset="0"/>
              <a:cs typeface="Arial" panose="020B0604020202020204" pitchFamily="34" charset="0"/>
            </a:rPr>
            <a:t> a Staff Log File</a:t>
          </a:r>
          <a:endParaRPr lang="en-GB" sz="1000">
            <a:latin typeface="Arial" panose="020B0604020202020204" pitchFamily="34" charset="0"/>
            <a:cs typeface="Arial" panose="020B0604020202020204" pitchFamily="34" charset="0"/>
          </a:endParaRPr>
        </a:p>
      </xdr:txBody>
    </xdr:sp>
    <xdr:clientData/>
  </xdr:twoCellAnchor>
  <xdr:twoCellAnchor>
    <xdr:from>
      <xdr:col>12</xdr:col>
      <xdr:colOff>428625</xdr:colOff>
      <xdr:row>9</xdr:row>
      <xdr:rowOff>66675</xdr:rowOff>
    </xdr:from>
    <xdr:to>
      <xdr:col>14</xdr:col>
      <xdr:colOff>19050</xdr:colOff>
      <xdr:row>10</xdr:row>
      <xdr:rowOff>114300</xdr:rowOff>
    </xdr:to>
    <xdr:sp macro="[0]!AddBandATrackerFile" textlink="">
      <xdr:nvSpPr>
        <xdr:cNvPr id="10" name="Rounded Rectangle 9">
          <a:extLst>
            <a:ext uri="{FF2B5EF4-FFF2-40B4-BE49-F238E27FC236}">
              <a16:creationId xmlns:a16="http://schemas.microsoft.com/office/drawing/2014/main" id="{00000000-0008-0000-0A00-000009000000}"/>
            </a:ext>
          </a:extLst>
        </xdr:cNvPr>
        <xdr:cNvSpPr/>
      </xdr:nvSpPr>
      <xdr:spPr>
        <a:xfrm>
          <a:off x="13592175" y="1857375"/>
          <a:ext cx="2828925" cy="20955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GB" sz="1100">
              <a:solidFill>
                <a:schemeClr val="dk1"/>
              </a:solidFill>
              <a:effectLst/>
              <a:latin typeface="+mn-lt"/>
              <a:ea typeface="+mn-ea"/>
              <a:cs typeface="+mn-cs"/>
            </a:rPr>
            <a:t>Add</a:t>
          </a:r>
          <a:r>
            <a:rPr lang="en-GB" sz="1100" baseline="0">
              <a:solidFill>
                <a:schemeClr val="dk1"/>
              </a:solidFill>
              <a:effectLst/>
              <a:latin typeface="+mn-lt"/>
              <a:ea typeface="+mn-ea"/>
              <a:cs typeface="+mn-cs"/>
            </a:rPr>
            <a:t> a Band A Sign Off Progress Tracker File</a:t>
          </a:r>
          <a:endParaRPr lang="en-GB" sz="1000">
            <a:effectLst/>
          </a:endParaRPr>
        </a:p>
      </xdr:txBody>
    </xdr:sp>
    <xdr:clientData/>
  </xdr:twoCellAnchor>
  <xdr:twoCellAnchor>
    <xdr:from>
      <xdr:col>12</xdr:col>
      <xdr:colOff>428625</xdr:colOff>
      <xdr:row>12</xdr:row>
      <xdr:rowOff>66675</xdr:rowOff>
    </xdr:from>
    <xdr:to>
      <xdr:col>14</xdr:col>
      <xdr:colOff>19050</xdr:colOff>
      <xdr:row>13</xdr:row>
      <xdr:rowOff>114300</xdr:rowOff>
    </xdr:to>
    <xdr:sp macro="[0]!AddBandBTrackerFile" textlink="">
      <xdr:nvSpPr>
        <xdr:cNvPr id="11" name="Rounded Rectangle 10">
          <a:extLst>
            <a:ext uri="{FF2B5EF4-FFF2-40B4-BE49-F238E27FC236}">
              <a16:creationId xmlns:a16="http://schemas.microsoft.com/office/drawing/2014/main" id="{00000000-0008-0000-0A00-000009000000}"/>
            </a:ext>
          </a:extLst>
        </xdr:cNvPr>
        <xdr:cNvSpPr/>
      </xdr:nvSpPr>
      <xdr:spPr>
        <a:xfrm>
          <a:off x="13592175" y="1857375"/>
          <a:ext cx="2828925" cy="20955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GB" sz="1100">
              <a:solidFill>
                <a:schemeClr val="dk1"/>
              </a:solidFill>
              <a:effectLst/>
              <a:latin typeface="+mn-lt"/>
              <a:ea typeface="+mn-ea"/>
              <a:cs typeface="+mn-cs"/>
            </a:rPr>
            <a:t>Add</a:t>
          </a:r>
          <a:r>
            <a:rPr lang="en-GB" sz="1100" baseline="0">
              <a:solidFill>
                <a:schemeClr val="dk1"/>
              </a:solidFill>
              <a:effectLst/>
              <a:latin typeface="+mn-lt"/>
              <a:ea typeface="+mn-ea"/>
              <a:cs typeface="+mn-cs"/>
            </a:rPr>
            <a:t> a Band B Sign Off Progress Tracker File</a:t>
          </a:r>
          <a:endParaRPr lang="en-GB" sz="1000">
            <a:effectLst/>
          </a:endParaRPr>
        </a:p>
      </xdr:txBody>
    </xdr:sp>
    <xdr:clientData/>
  </xdr:twoCellAnchor>
</xdr:wsDr>
</file>

<file path=xl/drawings/drawing7.xml><?xml version="1.0" encoding="utf-8"?>
<xdr:wsDr xmlns:xdr="http://schemas.openxmlformats.org/drawingml/2006/spreadsheetDrawing" xmlns:a="http://schemas.openxmlformats.org/drawingml/2006/main">
  <xdr:oneCellAnchor>
    <xdr:from>
      <xdr:col>2</xdr:col>
      <xdr:colOff>245720</xdr:colOff>
      <xdr:row>0</xdr:row>
      <xdr:rowOff>66674</xdr:rowOff>
    </xdr:from>
    <xdr:ext cx="8841129" cy="371475"/>
    <xdr:sp macro="" textlink="">
      <xdr:nvSpPr>
        <xdr:cNvPr id="2" name="Rectangle 1">
          <a:extLst>
            <a:ext uri="{FF2B5EF4-FFF2-40B4-BE49-F238E27FC236}">
              <a16:creationId xmlns:a16="http://schemas.microsoft.com/office/drawing/2014/main" id="{00000000-0008-0000-1000-000002000000}"/>
            </a:ext>
          </a:extLst>
        </xdr:cNvPr>
        <xdr:cNvSpPr/>
      </xdr:nvSpPr>
      <xdr:spPr>
        <a:xfrm>
          <a:off x="1445870" y="66674"/>
          <a:ext cx="8841129" cy="371475"/>
        </a:xfrm>
        <a:prstGeom prst="rect">
          <a:avLst/>
        </a:prstGeom>
        <a:noFill/>
      </xdr:spPr>
      <xdr:txBody>
        <a:bodyPr wrap="square" lIns="91440" tIns="45720" rIns="91440" bIns="45720">
          <a:noAutofit/>
        </a:bodyPr>
        <a:lstStyle/>
        <a:p>
          <a:pPr algn="ctr"/>
          <a:r>
            <a:rPr lang="en-US" sz="1800" b="0" cap="none" spc="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Asian CS Team Development Hub - Urgent Escalation</a:t>
          </a:r>
        </a:p>
      </xdr:txBody>
    </xdr:sp>
    <xdr:clientData/>
  </xdr:oneCellAnchor>
  <xdr:twoCellAnchor>
    <xdr:from>
      <xdr:col>8</xdr:col>
      <xdr:colOff>476250</xdr:colOff>
      <xdr:row>7</xdr:row>
      <xdr:rowOff>85726</xdr:rowOff>
    </xdr:from>
    <xdr:to>
      <xdr:col>11</xdr:col>
      <xdr:colOff>9525</xdr:colOff>
      <xdr:row>8</xdr:row>
      <xdr:rowOff>133350</xdr:rowOff>
    </xdr:to>
    <xdr:sp macro="[0]!CreateNewUrgentEscalation" textlink="">
      <xdr:nvSpPr>
        <xdr:cNvPr id="3" name="Rounded Rectangle 2">
          <a:extLst>
            <a:ext uri="{FF2B5EF4-FFF2-40B4-BE49-F238E27FC236}">
              <a16:creationId xmlns:a16="http://schemas.microsoft.com/office/drawing/2014/main" id="{00000000-0008-0000-1000-000003000000}"/>
            </a:ext>
          </a:extLst>
        </xdr:cNvPr>
        <xdr:cNvSpPr/>
      </xdr:nvSpPr>
      <xdr:spPr>
        <a:xfrm>
          <a:off x="7067550" y="1524001"/>
          <a:ext cx="2352675" cy="209549"/>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Create New Urgent Escalation</a:t>
          </a:r>
          <a:r>
            <a:rPr lang="en-GB" sz="1000" baseline="0">
              <a:latin typeface="Arial" panose="020B0604020202020204" pitchFamily="34" charset="0"/>
              <a:cs typeface="Arial" panose="020B0604020202020204" pitchFamily="34" charset="0"/>
            </a:rPr>
            <a:t> Case</a:t>
          </a:r>
          <a:endParaRPr lang="en-GB" sz="1000">
            <a:latin typeface="Arial" panose="020B0604020202020204" pitchFamily="34" charset="0"/>
            <a:cs typeface="Arial" panose="020B0604020202020204" pitchFamily="34" charset="0"/>
          </a:endParaRPr>
        </a:p>
      </xdr:txBody>
    </xdr:sp>
    <xdr:clientData/>
  </xdr:twoCellAnchor>
  <xdr:twoCellAnchor>
    <xdr:from>
      <xdr:col>8</xdr:col>
      <xdr:colOff>438150</xdr:colOff>
      <xdr:row>15</xdr:row>
      <xdr:rowOff>104774</xdr:rowOff>
    </xdr:from>
    <xdr:to>
      <xdr:col>11</xdr:col>
      <xdr:colOff>0</xdr:colOff>
      <xdr:row>16</xdr:row>
      <xdr:rowOff>123825</xdr:rowOff>
    </xdr:to>
    <xdr:sp macro="[0]!AddUrgentEscalationContactReview" textlink="">
      <xdr:nvSpPr>
        <xdr:cNvPr id="4" name="Rounded Rectangle 3">
          <a:extLst>
            <a:ext uri="{FF2B5EF4-FFF2-40B4-BE49-F238E27FC236}">
              <a16:creationId xmlns:a16="http://schemas.microsoft.com/office/drawing/2014/main" id="{00000000-0008-0000-1000-000004000000}"/>
            </a:ext>
          </a:extLst>
        </xdr:cNvPr>
        <xdr:cNvSpPr/>
      </xdr:nvSpPr>
      <xdr:spPr>
        <a:xfrm>
          <a:off x="7029450" y="2847974"/>
          <a:ext cx="2381250" cy="180976"/>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Add Contact Review File</a:t>
          </a:r>
        </a:p>
      </xdr:txBody>
    </xdr:sp>
    <xdr:clientData/>
  </xdr:twoCellAnchor>
  <xdr:twoCellAnchor>
    <xdr:from>
      <xdr:col>8</xdr:col>
      <xdr:colOff>533400</xdr:colOff>
      <xdr:row>25</xdr:row>
      <xdr:rowOff>85725</xdr:rowOff>
    </xdr:from>
    <xdr:to>
      <xdr:col>10</xdr:col>
      <xdr:colOff>1114425</xdr:colOff>
      <xdr:row>26</xdr:row>
      <xdr:rowOff>133349</xdr:rowOff>
    </xdr:to>
    <xdr:sp macro="[0]!SaveUrgentEscalationPlan" textlink="">
      <xdr:nvSpPr>
        <xdr:cNvPr id="6" name="Rounded Rectangle 5">
          <a:extLst>
            <a:ext uri="{FF2B5EF4-FFF2-40B4-BE49-F238E27FC236}">
              <a16:creationId xmlns:a16="http://schemas.microsoft.com/office/drawing/2014/main" id="{00000000-0008-0000-1000-000006000000}"/>
            </a:ext>
          </a:extLst>
        </xdr:cNvPr>
        <xdr:cNvSpPr/>
      </xdr:nvSpPr>
      <xdr:spPr>
        <a:xfrm>
          <a:off x="7124700" y="6086475"/>
          <a:ext cx="2276475" cy="209549"/>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Save Action Plan</a:t>
          </a:r>
        </a:p>
      </xdr:txBody>
    </xdr:sp>
    <xdr:clientData/>
  </xdr:twoCellAnchor>
  <xdr:twoCellAnchor>
    <xdr:from>
      <xdr:col>8</xdr:col>
      <xdr:colOff>523875</xdr:colOff>
      <xdr:row>31</xdr:row>
      <xdr:rowOff>95249</xdr:rowOff>
    </xdr:from>
    <xdr:to>
      <xdr:col>10</xdr:col>
      <xdr:colOff>1104900</xdr:colOff>
      <xdr:row>32</xdr:row>
      <xdr:rowOff>114300</xdr:rowOff>
    </xdr:to>
    <xdr:sp macro="[0]!AddUrgentEscalationMeetingRecord" textlink="">
      <xdr:nvSpPr>
        <xdr:cNvPr id="7" name="Rounded Rectangle 6">
          <a:extLst>
            <a:ext uri="{FF2B5EF4-FFF2-40B4-BE49-F238E27FC236}">
              <a16:creationId xmlns:a16="http://schemas.microsoft.com/office/drawing/2014/main" id="{00000000-0008-0000-1000-000007000000}"/>
            </a:ext>
          </a:extLst>
        </xdr:cNvPr>
        <xdr:cNvSpPr/>
      </xdr:nvSpPr>
      <xdr:spPr>
        <a:xfrm>
          <a:off x="7115175" y="7400924"/>
          <a:ext cx="2276475" cy="180976"/>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Add a Meeting Record File</a:t>
          </a:r>
        </a:p>
      </xdr:txBody>
    </xdr:sp>
    <xdr:clientData/>
  </xdr:twoCellAnchor>
  <xdr:twoCellAnchor>
    <xdr:from>
      <xdr:col>16</xdr:col>
      <xdr:colOff>161925</xdr:colOff>
      <xdr:row>1</xdr:row>
      <xdr:rowOff>152400</xdr:rowOff>
    </xdr:from>
    <xdr:to>
      <xdr:col>17</xdr:col>
      <xdr:colOff>819150</xdr:colOff>
      <xdr:row>3</xdr:row>
      <xdr:rowOff>19049</xdr:rowOff>
    </xdr:to>
    <xdr:sp macro="[0]!LoadUrgentEscalationCaseByName" textlink="">
      <xdr:nvSpPr>
        <xdr:cNvPr id="9" name="Rounded Rectangle 8">
          <a:extLst>
            <a:ext uri="{FF2B5EF4-FFF2-40B4-BE49-F238E27FC236}">
              <a16:creationId xmlns:a16="http://schemas.microsoft.com/office/drawing/2014/main" id="{00000000-0008-0000-1000-000009000000}"/>
            </a:ext>
          </a:extLst>
        </xdr:cNvPr>
        <xdr:cNvSpPr/>
      </xdr:nvSpPr>
      <xdr:spPr>
        <a:xfrm>
          <a:off x="12039600" y="619125"/>
          <a:ext cx="1304925" cy="190499"/>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Search</a:t>
          </a:r>
        </a:p>
      </xdr:txBody>
    </xdr:sp>
    <xdr:clientData/>
  </xdr:twoCellAnchor>
  <xdr:twoCellAnchor>
    <xdr:from>
      <xdr:col>6</xdr:col>
      <xdr:colOff>0</xdr:colOff>
      <xdr:row>7</xdr:row>
      <xdr:rowOff>85727</xdr:rowOff>
    </xdr:from>
    <xdr:to>
      <xdr:col>8</xdr:col>
      <xdr:colOff>152400</xdr:colOff>
      <xdr:row>8</xdr:row>
      <xdr:rowOff>123826</xdr:rowOff>
    </xdr:to>
    <xdr:sp macro="[0]!LoadEscalationCase" textlink="">
      <xdr:nvSpPr>
        <xdr:cNvPr id="10" name="Rounded Rectangle 9">
          <a:extLst>
            <a:ext uri="{FF2B5EF4-FFF2-40B4-BE49-F238E27FC236}">
              <a16:creationId xmlns:a16="http://schemas.microsoft.com/office/drawing/2014/main" id="{00000000-0008-0000-1000-00000A000000}"/>
            </a:ext>
          </a:extLst>
        </xdr:cNvPr>
        <xdr:cNvSpPr/>
      </xdr:nvSpPr>
      <xdr:spPr>
        <a:xfrm>
          <a:off x="4314825" y="1524002"/>
          <a:ext cx="2428875" cy="200024"/>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Load</a:t>
          </a:r>
          <a:r>
            <a:rPr lang="en-GB" sz="1000" baseline="0">
              <a:latin typeface="Arial" panose="020B0604020202020204" pitchFamily="34" charset="0"/>
              <a:cs typeface="Arial" panose="020B0604020202020204" pitchFamily="34" charset="0"/>
            </a:rPr>
            <a:t> Existing Escalation Case</a:t>
          </a:r>
          <a:endParaRPr lang="en-GB" sz="1000">
            <a:latin typeface="Arial" panose="020B0604020202020204" pitchFamily="34" charset="0"/>
            <a:cs typeface="Arial" panose="020B0604020202020204" pitchFamily="34" charset="0"/>
          </a:endParaRPr>
        </a:p>
      </xdr:txBody>
    </xdr:sp>
    <xdr:clientData/>
  </xdr:twoCellAnchor>
  <xdr:twoCellAnchor>
    <xdr:from>
      <xdr:col>25</xdr:col>
      <xdr:colOff>200025</xdr:colOff>
      <xdr:row>1</xdr:row>
      <xdr:rowOff>152400</xdr:rowOff>
    </xdr:from>
    <xdr:to>
      <xdr:col>27</xdr:col>
      <xdr:colOff>285750</xdr:colOff>
      <xdr:row>3</xdr:row>
      <xdr:rowOff>19049</xdr:rowOff>
    </xdr:to>
    <xdr:sp macro="[0]!DeleteUrgentEscalatiion" textlink="">
      <xdr:nvSpPr>
        <xdr:cNvPr id="11" name="Rounded Rectangle 10">
          <a:extLst>
            <a:ext uri="{FF2B5EF4-FFF2-40B4-BE49-F238E27FC236}">
              <a16:creationId xmlns:a16="http://schemas.microsoft.com/office/drawing/2014/main" id="{00000000-0008-0000-1000-00000B000000}"/>
            </a:ext>
          </a:extLst>
        </xdr:cNvPr>
        <xdr:cNvSpPr/>
      </xdr:nvSpPr>
      <xdr:spPr>
        <a:xfrm>
          <a:off x="19954875" y="619125"/>
          <a:ext cx="1304925" cy="190499"/>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Remove</a:t>
          </a:r>
        </a:p>
      </xdr:txBody>
    </xdr:sp>
    <xdr:clientData/>
  </xdr:twoCellAnchor>
  <xdr:twoCellAnchor>
    <xdr:from>
      <xdr:col>8</xdr:col>
      <xdr:colOff>523875</xdr:colOff>
      <xdr:row>39</xdr:row>
      <xdr:rowOff>95249</xdr:rowOff>
    </xdr:from>
    <xdr:to>
      <xdr:col>10</xdr:col>
      <xdr:colOff>1104900</xdr:colOff>
      <xdr:row>40</xdr:row>
      <xdr:rowOff>114300</xdr:rowOff>
    </xdr:to>
    <xdr:sp macro="[0]!AddUrgentEscalationPDP" textlink="">
      <xdr:nvSpPr>
        <xdr:cNvPr id="12" name="Rounded Rectangle 11">
          <a:extLst>
            <a:ext uri="{FF2B5EF4-FFF2-40B4-BE49-F238E27FC236}">
              <a16:creationId xmlns:a16="http://schemas.microsoft.com/office/drawing/2014/main" id="{00000000-0008-0000-1000-00000C000000}"/>
            </a:ext>
          </a:extLst>
        </xdr:cNvPr>
        <xdr:cNvSpPr/>
      </xdr:nvSpPr>
      <xdr:spPr>
        <a:xfrm>
          <a:off x="7115175" y="7410449"/>
          <a:ext cx="2276475" cy="180976"/>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Add a PDP and Meeting Record File</a:t>
          </a:r>
        </a:p>
      </xdr:txBody>
    </xdr:sp>
    <xdr:clientData/>
  </xdr:twoCellAnchor>
  <xdr:oneCellAnchor>
    <xdr:from>
      <xdr:col>0</xdr:col>
      <xdr:colOff>0</xdr:colOff>
      <xdr:row>0</xdr:row>
      <xdr:rowOff>0</xdr:rowOff>
    </xdr:from>
    <xdr:ext cx="3495674" cy="466725"/>
    <xdr:sp macro="" textlink="">
      <xdr:nvSpPr>
        <xdr:cNvPr id="13" name="Rectangle 12">
          <a:extLst>
            <a:ext uri="{FF2B5EF4-FFF2-40B4-BE49-F238E27FC236}">
              <a16:creationId xmlns:a16="http://schemas.microsoft.com/office/drawing/2014/main" id="{00000000-0008-0000-1000-00000D000000}"/>
            </a:ext>
          </a:extLst>
        </xdr:cNvPr>
        <xdr:cNvSpPr/>
      </xdr:nvSpPr>
      <xdr:spPr>
        <a:xfrm>
          <a:off x="0" y="0"/>
          <a:ext cx="3495674" cy="466725"/>
        </a:xfrm>
        <a:prstGeom prst="rect">
          <a:avLst/>
        </a:prstGeom>
        <a:noFill/>
      </xdr:spPr>
      <xdr:txBody>
        <a:bodyPr wrap="square" lIns="91440" tIns="45720" rIns="91440" bIns="45720">
          <a:noAutofit/>
        </a:bodyPr>
        <a:lstStyle/>
        <a:p>
          <a:pPr algn="ctr"/>
          <a:r>
            <a:rPr lang="en-US" sz="2400" b="0" cap="none" spc="0">
              <a:ln w="0"/>
              <a:solidFill>
                <a:schemeClr val="bg1"/>
              </a:solidFill>
              <a:effectLst>
                <a:outerShdw blurRad="38100" dist="19050" dir="2700000" algn="tl" rotWithShape="0">
                  <a:schemeClr val="dk1">
                    <a:alpha val="40000"/>
                  </a:schemeClr>
                </a:outerShdw>
              </a:effectLst>
              <a:latin typeface="Arial Black" panose="020B0A04020102020204" pitchFamily="34" charset="0"/>
            </a:rPr>
            <a:t>bet</a:t>
          </a:r>
          <a:r>
            <a:rPr lang="en-US" sz="2400" b="0" cap="none" spc="0">
              <a:ln w="0"/>
              <a:solidFill>
                <a:srgbClr val="FFFF00"/>
              </a:solidFill>
              <a:effectLst>
                <a:outerShdw blurRad="38100" dist="19050" dir="2700000" algn="tl" rotWithShape="0">
                  <a:schemeClr val="dk1">
                    <a:alpha val="40000"/>
                  </a:schemeClr>
                </a:outerShdw>
              </a:effectLst>
              <a:latin typeface="Arial Black" panose="020B0A04020102020204" pitchFamily="34" charset="0"/>
            </a:rPr>
            <a:t>365</a:t>
          </a:r>
        </a:p>
      </xdr:txBody>
    </xdr:sp>
    <xdr:clientData/>
  </xdr:oneCellAnchor>
  <xdr:twoCellAnchor>
    <xdr:from>
      <xdr:col>20</xdr:col>
      <xdr:colOff>161925</xdr:colOff>
      <xdr:row>1</xdr:row>
      <xdr:rowOff>152400</xdr:rowOff>
    </xdr:from>
    <xdr:to>
      <xdr:col>21</xdr:col>
      <xdr:colOff>819150</xdr:colOff>
      <xdr:row>3</xdr:row>
      <xdr:rowOff>19049</xdr:rowOff>
    </xdr:to>
    <xdr:sp macro="[0]!LoadUrgentEscalationCaseByTL" textlink="">
      <xdr:nvSpPr>
        <xdr:cNvPr id="14" name="Rounded Rectangle 13">
          <a:extLst>
            <a:ext uri="{FF2B5EF4-FFF2-40B4-BE49-F238E27FC236}">
              <a16:creationId xmlns:a16="http://schemas.microsoft.com/office/drawing/2014/main" id="{00000000-0008-0000-1000-000009000000}"/>
            </a:ext>
          </a:extLst>
        </xdr:cNvPr>
        <xdr:cNvSpPr/>
      </xdr:nvSpPr>
      <xdr:spPr>
        <a:xfrm>
          <a:off x="14173200" y="619125"/>
          <a:ext cx="2095500" cy="190499"/>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Search</a:t>
          </a:r>
        </a:p>
      </xdr:txBody>
    </xdr:sp>
    <xdr:clientData/>
  </xdr:twoCellAnchor>
  <xdr:twoCellAnchor>
    <xdr:from>
      <xdr:col>3</xdr:col>
      <xdr:colOff>19050</xdr:colOff>
      <xdr:row>54</xdr:row>
      <xdr:rowOff>123825</xdr:rowOff>
    </xdr:from>
    <xdr:to>
      <xdr:col>4</xdr:col>
      <xdr:colOff>809625</xdr:colOff>
      <xdr:row>55</xdr:row>
      <xdr:rowOff>133350</xdr:rowOff>
    </xdr:to>
    <xdr:sp macro="[0]!EnlightenMe" textlink="">
      <xdr:nvSpPr>
        <xdr:cNvPr id="15" name="Rounded Rectangle 14">
          <a:extLst>
            <a:ext uri="{FF2B5EF4-FFF2-40B4-BE49-F238E27FC236}">
              <a16:creationId xmlns:a16="http://schemas.microsoft.com/office/drawing/2014/main" id="{00000000-0008-0000-1000-000006000000}"/>
            </a:ext>
          </a:extLst>
        </xdr:cNvPr>
        <xdr:cNvSpPr/>
      </xdr:nvSpPr>
      <xdr:spPr>
        <a:xfrm>
          <a:off x="1466850" y="11134725"/>
          <a:ext cx="2276475" cy="171450"/>
        </a:xfrm>
        <a:prstGeom prst="roundRect">
          <a:avLst/>
        </a:prstGeom>
        <a:noFill/>
        <a:ln w="9525" cap="flat" cmpd="sng" algn="ctr">
          <a:solidFill>
            <a:schemeClr val="accent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lstStyle/>
        <a:p>
          <a:pPr algn="ctr"/>
          <a:r>
            <a:rPr lang="en-GB" sz="1100" b="0" i="0">
              <a:solidFill>
                <a:schemeClr val="accent5"/>
              </a:solidFill>
              <a:effectLst/>
              <a:latin typeface="+mn-lt"/>
              <a:ea typeface="+mn-ea"/>
              <a:cs typeface="+mn-cs"/>
            </a:rPr>
            <a:t>Illuminate</a:t>
          </a:r>
          <a:endParaRPr lang="en-GB" sz="1000" b="0">
            <a:latin typeface="Arial" panose="020B0604020202020204" pitchFamily="34" charset="0"/>
            <a:cs typeface="Arial" panose="020B060402020202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2</xdr:col>
      <xdr:colOff>245720</xdr:colOff>
      <xdr:row>0</xdr:row>
      <xdr:rowOff>66674</xdr:rowOff>
    </xdr:from>
    <xdr:ext cx="13013080" cy="371475"/>
    <xdr:sp macro="" textlink="">
      <xdr:nvSpPr>
        <xdr:cNvPr id="2" name="Rectangle 1">
          <a:extLst>
            <a:ext uri="{FF2B5EF4-FFF2-40B4-BE49-F238E27FC236}">
              <a16:creationId xmlns:a16="http://schemas.microsoft.com/office/drawing/2014/main" id="{00000000-0008-0000-1100-000002000000}"/>
            </a:ext>
          </a:extLst>
        </xdr:cNvPr>
        <xdr:cNvSpPr/>
      </xdr:nvSpPr>
      <xdr:spPr>
        <a:xfrm>
          <a:off x="1445870" y="66674"/>
          <a:ext cx="13013080" cy="371475"/>
        </a:xfrm>
        <a:prstGeom prst="rect">
          <a:avLst/>
        </a:prstGeom>
        <a:noFill/>
      </xdr:spPr>
      <xdr:txBody>
        <a:bodyPr wrap="square" lIns="91440" tIns="45720" rIns="91440" bIns="45720">
          <a:noAutofit/>
        </a:bodyPr>
        <a:lstStyle/>
        <a:p>
          <a:pPr algn="ctr"/>
          <a:r>
            <a:rPr lang="en-US" sz="1800" b="0" cap="none" spc="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Asian CS Team Development Hub - PDP</a:t>
          </a:r>
        </a:p>
      </xdr:txBody>
    </xdr:sp>
    <xdr:clientData/>
  </xdr:oneCellAnchor>
  <xdr:oneCellAnchor>
    <xdr:from>
      <xdr:col>0</xdr:col>
      <xdr:colOff>0</xdr:colOff>
      <xdr:row>0</xdr:row>
      <xdr:rowOff>0</xdr:rowOff>
    </xdr:from>
    <xdr:ext cx="3495674" cy="447675"/>
    <xdr:sp macro="" textlink="">
      <xdr:nvSpPr>
        <xdr:cNvPr id="3" name="Rectangle 2">
          <a:extLst>
            <a:ext uri="{FF2B5EF4-FFF2-40B4-BE49-F238E27FC236}">
              <a16:creationId xmlns:a16="http://schemas.microsoft.com/office/drawing/2014/main" id="{00000000-0008-0000-1100-000003000000}"/>
            </a:ext>
          </a:extLst>
        </xdr:cNvPr>
        <xdr:cNvSpPr/>
      </xdr:nvSpPr>
      <xdr:spPr>
        <a:xfrm>
          <a:off x="0" y="0"/>
          <a:ext cx="3495674" cy="447675"/>
        </a:xfrm>
        <a:prstGeom prst="rect">
          <a:avLst/>
        </a:prstGeom>
        <a:noFill/>
      </xdr:spPr>
      <xdr:txBody>
        <a:bodyPr wrap="square" lIns="91440" tIns="45720" rIns="91440" bIns="45720">
          <a:noAutofit/>
        </a:bodyPr>
        <a:lstStyle/>
        <a:p>
          <a:pPr algn="ctr"/>
          <a:r>
            <a:rPr lang="en-US" sz="2400" b="0" cap="none" spc="0">
              <a:ln w="0"/>
              <a:solidFill>
                <a:schemeClr val="bg1"/>
              </a:solidFill>
              <a:effectLst>
                <a:outerShdw blurRad="38100" dist="19050" dir="2700000" algn="tl" rotWithShape="0">
                  <a:schemeClr val="dk1">
                    <a:alpha val="40000"/>
                  </a:schemeClr>
                </a:outerShdw>
              </a:effectLst>
              <a:latin typeface="Arial Black" panose="020B0A04020102020204" pitchFamily="34" charset="0"/>
            </a:rPr>
            <a:t>bet</a:t>
          </a:r>
          <a:r>
            <a:rPr lang="en-US" sz="2400" b="0" cap="none" spc="0">
              <a:ln w="0"/>
              <a:solidFill>
                <a:srgbClr val="FFFF00"/>
              </a:solidFill>
              <a:effectLst>
                <a:outerShdw blurRad="38100" dist="19050" dir="2700000" algn="tl" rotWithShape="0">
                  <a:schemeClr val="dk1">
                    <a:alpha val="40000"/>
                  </a:schemeClr>
                </a:outerShdw>
              </a:effectLst>
              <a:latin typeface="Arial Black" panose="020B0A04020102020204" pitchFamily="34" charset="0"/>
            </a:rPr>
            <a:t>365</a:t>
          </a:r>
        </a:p>
      </xdr:txBody>
    </xdr:sp>
    <xdr:clientData/>
  </xdr:oneCellAnchor>
  <xdr:twoCellAnchor>
    <xdr:from>
      <xdr:col>5</xdr:col>
      <xdr:colOff>171451</xdr:colOff>
      <xdr:row>12</xdr:row>
      <xdr:rowOff>1</xdr:rowOff>
    </xdr:from>
    <xdr:to>
      <xdr:col>5</xdr:col>
      <xdr:colOff>1885951</xdr:colOff>
      <xdr:row>13</xdr:row>
      <xdr:rowOff>38100</xdr:rowOff>
    </xdr:to>
    <xdr:sp macro="[0]!LoadPDPByName" textlink="">
      <xdr:nvSpPr>
        <xdr:cNvPr id="7" name="Rounded Rectangle 6">
          <a:extLst>
            <a:ext uri="{FF2B5EF4-FFF2-40B4-BE49-F238E27FC236}">
              <a16:creationId xmlns:a16="http://schemas.microsoft.com/office/drawing/2014/main" id="{00000000-0008-0000-1100-000007000000}"/>
            </a:ext>
          </a:extLst>
        </xdr:cNvPr>
        <xdr:cNvSpPr/>
      </xdr:nvSpPr>
      <xdr:spPr>
        <a:xfrm>
          <a:off x="4695826" y="2286001"/>
          <a:ext cx="1714500" cy="200024"/>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Search</a:t>
          </a:r>
        </a:p>
      </xdr:txBody>
    </xdr:sp>
    <xdr:clientData/>
  </xdr:twoCellAnchor>
  <xdr:twoCellAnchor>
    <xdr:from>
      <xdr:col>9</xdr:col>
      <xdr:colOff>200025</xdr:colOff>
      <xdr:row>7</xdr:row>
      <xdr:rowOff>95249</xdr:rowOff>
    </xdr:from>
    <xdr:to>
      <xdr:col>11</xdr:col>
      <xdr:colOff>9525</xdr:colOff>
      <xdr:row>8</xdr:row>
      <xdr:rowOff>114300</xdr:rowOff>
    </xdr:to>
    <xdr:sp macro="[0]!AddNewPDP" textlink="">
      <xdr:nvSpPr>
        <xdr:cNvPr id="8" name="Rounded Rectangle 7">
          <a:extLst>
            <a:ext uri="{FF2B5EF4-FFF2-40B4-BE49-F238E27FC236}">
              <a16:creationId xmlns:a16="http://schemas.microsoft.com/office/drawing/2014/main" id="{00000000-0008-0000-1100-000008000000}"/>
            </a:ext>
          </a:extLst>
        </xdr:cNvPr>
        <xdr:cNvSpPr/>
      </xdr:nvSpPr>
      <xdr:spPr>
        <a:xfrm>
          <a:off x="8991600" y="1533524"/>
          <a:ext cx="2352675" cy="209551"/>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GB" sz="1000" baseline="0">
              <a:latin typeface="Arial" panose="020B0604020202020204" pitchFamily="34" charset="0"/>
              <a:cs typeface="Arial" panose="020B0604020202020204" pitchFamily="34" charset="0"/>
            </a:rPr>
            <a:t>Save an Existing PDP</a:t>
          </a:r>
          <a:endParaRPr lang="en-GB" sz="1000">
            <a:latin typeface="Arial" panose="020B0604020202020204" pitchFamily="34" charset="0"/>
            <a:cs typeface="Arial" panose="020B0604020202020204" pitchFamily="34" charset="0"/>
          </a:endParaRPr>
        </a:p>
      </xdr:txBody>
    </xdr:sp>
    <xdr:clientData/>
  </xdr:twoCellAnchor>
  <xdr:twoCellAnchor>
    <xdr:from>
      <xdr:col>15</xdr:col>
      <xdr:colOff>200025</xdr:colOff>
      <xdr:row>1</xdr:row>
      <xdr:rowOff>152400</xdr:rowOff>
    </xdr:from>
    <xdr:to>
      <xdr:col>17</xdr:col>
      <xdr:colOff>285750</xdr:colOff>
      <xdr:row>3</xdr:row>
      <xdr:rowOff>19049</xdr:rowOff>
    </xdr:to>
    <xdr:sp macro="[0]!DeletePDP" textlink="">
      <xdr:nvSpPr>
        <xdr:cNvPr id="6" name="Rounded Rectangle 5">
          <a:extLst>
            <a:ext uri="{FF2B5EF4-FFF2-40B4-BE49-F238E27FC236}">
              <a16:creationId xmlns:a16="http://schemas.microsoft.com/office/drawing/2014/main" id="{00000000-0008-0000-1100-000006000000}"/>
            </a:ext>
          </a:extLst>
        </xdr:cNvPr>
        <xdr:cNvSpPr/>
      </xdr:nvSpPr>
      <xdr:spPr>
        <a:xfrm>
          <a:off x="23736300" y="619125"/>
          <a:ext cx="1304925" cy="190499"/>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Remove</a:t>
          </a:r>
        </a:p>
      </xdr:txBody>
    </xdr:sp>
    <xdr:clientData/>
  </xdr:twoCellAnchor>
  <xdr:twoCellAnchor>
    <xdr:from>
      <xdr:col>9</xdr:col>
      <xdr:colOff>171451</xdr:colOff>
      <xdr:row>12</xdr:row>
      <xdr:rowOff>1</xdr:rowOff>
    </xdr:from>
    <xdr:to>
      <xdr:col>9</xdr:col>
      <xdr:colOff>1885951</xdr:colOff>
      <xdr:row>13</xdr:row>
      <xdr:rowOff>38100</xdr:rowOff>
    </xdr:to>
    <xdr:sp macro="[0]!LoadPDPByTL" textlink="">
      <xdr:nvSpPr>
        <xdr:cNvPr id="9" name="Rounded Rectangle 8">
          <a:extLst>
            <a:ext uri="{FF2B5EF4-FFF2-40B4-BE49-F238E27FC236}">
              <a16:creationId xmlns:a16="http://schemas.microsoft.com/office/drawing/2014/main" id="{00000000-0008-0000-1100-000007000000}"/>
            </a:ext>
          </a:extLst>
        </xdr:cNvPr>
        <xdr:cNvSpPr/>
      </xdr:nvSpPr>
      <xdr:spPr>
        <a:xfrm>
          <a:off x="4695826" y="2286001"/>
          <a:ext cx="1714500" cy="200024"/>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Search</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2</xdr:col>
      <xdr:colOff>245720</xdr:colOff>
      <xdr:row>0</xdr:row>
      <xdr:rowOff>66674</xdr:rowOff>
    </xdr:from>
    <xdr:ext cx="13013080" cy="371475"/>
    <xdr:sp macro="" textlink="">
      <xdr:nvSpPr>
        <xdr:cNvPr id="2" name="Rectangle 1">
          <a:extLst>
            <a:ext uri="{FF2B5EF4-FFF2-40B4-BE49-F238E27FC236}">
              <a16:creationId xmlns:a16="http://schemas.microsoft.com/office/drawing/2014/main" id="{00000000-0008-0000-1100-000002000000}"/>
            </a:ext>
          </a:extLst>
        </xdr:cNvPr>
        <xdr:cNvSpPr/>
      </xdr:nvSpPr>
      <xdr:spPr>
        <a:xfrm>
          <a:off x="1445870" y="66674"/>
          <a:ext cx="13013080" cy="371475"/>
        </a:xfrm>
        <a:prstGeom prst="rect">
          <a:avLst/>
        </a:prstGeom>
        <a:noFill/>
      </xdr:spPr>
      <xdr:txBody>
        <a:bodyPr wrap="square" lIns="91440" tIns="45720" rIns="91440" bIns="45720">
          <a:noAutofit/>
        </a:bodyPr>
        <a:lstStyle/>
        <a:p>
          <a:pPr algn="ctr"/>
          <a:r>
            <a:rPr lang="en-US" sz="1800" b="0" cap="none" spc="0">
              <a:ln w="0"/>
              <a:solidFill>
                <a:srgbClr val="27E3A7"/>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Asian CS Team Development Hub - Meeting Log</a:t>
          </a:r>
        </a:p>
      </xdr:txBody>
    </xdr:sp>
    <xdr:clientData/>
  </xdr:oneCellAnchor>
  <xdr:oneCellAnchor>
    <xdr:from>
      <xdr:col>0</xdr:col>
      <xdr:colOff>0</xdr:colOff>
      <xdr:row>0</xdr:row>
      <xdr:rowOff>0</xdr:rowOff>
    </xdr:from>
    <xdr:ext cx="3495674" cy="447675"/>
    <xdr:sp macro="" textlink="">
      <xdr:nvSpPr>
        <xdr:cNvPr id="3" name="Rectangle 2">
          <a:extLst>
            <a:ext uri="{FF2B5EF4-FFF2-40B4-BE49-F238E27FC236}">
              <a16:creationId xmlns:a16="http://schemas.microsoft.com/office/drawing/2014/main" id="{00000000-0008-0000-1100-000003000000}"/>
            </a:ext>
          </a:extLst>
        </xdr:cNvPr>
        <xdr:cNvSpPr/>
      </xdr:nvSpPr>
      <xdr:spPr>
        <a:xfrm>
          <a:off x="0" y="0"/>
          <a:ext cx="3495674" cy="447675"/>
        </a:xfrm>
        <a:prstGeom prst="rect">
          <a:avLst/>
        </a:prstGeom>
        <a:noFill/>
      </xdr:spPr>
      <xdr:txBody>
        <a:bodyPr wrap="square" lIns="91440" tIns="45720" rIns="91440" bIns="45720">
          <a:noAutofit/>
        </a:bodyPr>
        <a:lstStyle/>
        <a:p>
          <a:pPr algn="ctr"/>
          <a:r>
            <a:rPr lang="en-US" sz="2400" b="0" cap="none" spc="0">
              <a:ln w="0"/>
              <a:solidFill>
                <a:schemeClr val="bg1"/>
              </a:solidFill>
              <a:effectLst>
                <a:outerShdw blurRad="38100" dist="19050" dir="2700000" algn="tl" rotWithShape="0">
                  <a:schemeClr val="dk1">
                    <a:alpha val="40000"/>
                  </a:schemeClr>
                </a:outerShdw>
              </a:effectLst>
              <a:latin typeface="Arial Black" panose="020B0A04020102020204" pitchFamily="34" charset="0"/>
            </a:rPr>
            <a:t>bet</a:t>
          </a:r>
          <a:r>
            <a:rPr lang="en-US" sz="2400" b="0" cap="none" spc="0">
              <a:ln w="0"/>
              <a:solidFill>
                <a:srgbClr val="FFFF00"/>
              </a:solidFill>
              <a:effectLst>
                <a:outerShdw blurRad="38100" dist="19050" dir="2700000" algn="tl" rotWithShape="0">
                  <a:schemeClr val="dk1">
                    <a:alpha val="40000"/>
                  </a:schemeClr>
                </a:outerShdw>
              </a:effectLst>
              <a:latin typeface="Arial Black" panose="020B0A04020102020204" pitchFamily="34" charset="0"/>
            </a:rPr>
            <a:t>365</a:t>
          </a:r>
        </a:p>
      </xdr:txBody>
    </xdr:sp>
    <xdr:clientData/>
  </xdr:oneCellAnchor>
  <xdr:twoCellAnchor>
    <xdr:from>
      <xdr:col>5</xdr:col>
      <xdr:colOff>171451</xdr:colOff>
      <xdr:row>13</xdr:row>
      <xdr:rowOff>1</xdr:rowOff>
    </xdr:from>
    <xdr:to>
      <xdr:col>5</xdr:col>
      <xdr:colOff>1885951</xdr:colOff>
      <xdr:row>14</xdr:row>
      <xdr:rowOff>38100</xdr:rowOff>
    </xdr:to>
    <xdr:sp macro="[0]!LoadMeetingByName" textlink="">
      <xdr:nvSpPr>
        <xdr:cNvPr id="4" name="Rounded Rectangle 3">
          <a:extLst>
            <a:ext uri="{FF2B5EF4-FFF2-40B4-BE49-F238E27FC236}">
              <a16:creationId xmlns:a16="http://schemas.microsoft.com/office/drawing/2014/main" id="{00000000-0008-0000-1100-000007000000}"/>
            </a:ext>
          </a:extLst>
        </xdr:cNvPr>
        <xdr:cNvSpPr/>
      </xdr:nvSpPr>
      <xdr:spPr>
        <a:xfrm>
          <a:off x="4695826" y="2286001"/>
          <a:ext cx="1609725" cy="200024"/>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Search</a:t>
          </a:r>
        </a:p>
      </xdr:txBody>
    </xdr:sp>
    <xdr:clientData/>
  </xdr:twoCellAnchor>
  <xdr:twoCellAnchor>
    <xdr:from>
      <xdr:col>9</xdr:col>
      <xdr:colOff>200025</xdr:colOff>
      <xdr:row>8</xdr:row>
      <xdr:rowOff>95249</xdr:rowOff>
    </xdr:from>
    <xdr:to>
      <xdr:col>11</xdr:col>
      <xdr:colOff>9525</xdr:colOff>
      <xdr:row>9</xdr:row>
      <xdr:rowOff>114300</xdr:rowOff>
    </xdr:to>
    <xdr:sp macro="[0]!AddNewMeeting" textlink="">
      <xdr:nvSpPr>
        <xdr:cNvPr id="5" name="Rounded Rectangle 4">
          <a:extLst>
            <a:ext uri="{FF2B5EF4-FFF2-40B4-BE49-F238E27FC236}">
              <a16:creationId xmlns:a16="http://schemas.microsoft.com/office/drawing/2014/main" id="{00000000-0008-0000-1100-000008000000}"/>
            </a:ext>
          </a:extLst>
        </xdr:cNvPr>
        <xdr:cNvSpPr/>
      </xdr:nvSpPr>
      <xdr:spPr>
        <a:xfrm>
          <a:off x="10544175" y="1533524"/>
          <a:ext cx="3009900" cy="209551"/>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GB" sz="1000" baseline="0">
              <a:latin typeface="Arial" panose="020B0604020202020204" pitchFamily="34" charset="0"/>
              <a:cs typeface="Arial" panose="020B0604020202020204" pitchFamily="34" charset="0"/>
            </a:rPr>
            <a:t>Save</a:t>
          </a:r>
          <a:endParaRPr lang="en-GB" sz="1000">
            <a:latin typeface="Arial" panose="020B0604020202020204" pitchFamily="34" charset="0"/>
            <a:cs typeface="Arial" panose="020B0604020202020204" pitchFamily="34" charset="0"/>
          </a:endParaRPr>
        </a:p>
      </xdr:txBody>
    </xdr:sp>
    <xdr:clientData/>
  </xdr:twoCellAnchor>
  <xdr:twoCellAnchor>
    <xdr:from>
      <xdr:col>15</xdr:col>
      <xdr:colOff>200025</xdr:colOff>
      <xdr:row>1</xdr:row>
      <xdr:rowOff>152400</xdr:rowOff>
    </xdr:from>
    <xdr:to>
      <xdr:col>17</xdr:col>
      <xdr:colOff>285750</xdr:colOff>
      <xdr:row>3</xdr:row>
      <xdr:rowOff>19049</xdr:rowOff>
    </xdr:to>
    <xdr:sp macro="[0]!DeleteMeeting" textlink="">
      <xdr:nvSpPr>
        <xdr:cNvPr id="6" name="Rounded Rectangle 5">
          <a:extLst>
            <a:ext uri="{FF2B5EF4-FFF2-40B4-BE49-F238E27FC236}">
              <a16:creationId xmlns:a16="http://schemas.microsoft.com/office/drawing/2014/main" id="{00000000-0008-0000-1100-000006000000}"/>
            </a:ext>
          </a:extLst>
        </xdr:cNvPr>
        <xdr:cNvSpPr/>
      </xdr:nvSpPr>
      <xdr:spPr>
        <a:xfrm>
          <a:off x="17183100" y="619125"/>
          <a:ext cx="1304925" cy="190499"/>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Remove</a:t>
          </a:r>
        </a:p>
      </xdr:txBody>
    </xdr:sp>
    <xdr:clientData/>
  </xdr:twoCellAnchor>
  <xdr:twoCellAnchor>
    <xdr:from>
      <xdr:col>10</xdr:col>
      <xdr:colOff>171451</xdr:colOff>
      <xdr:row>13</xdr:row>
      <xdr:rowOff>1</xdr:rowOff>
    </xdr:from>
    <xdr:to>
      <xdr:col>10</xdr:col>
      <xdr:colOff>1885951</xdr:colOff>
      <xdr:row>14</xdr:row>
      <xdr:rowOff>38100</xdr:rowOff>
    </xdr:to>
    <xdr:sp macro="[0]!LoadMeetingByTL" textlink="">
      <xdr:nvSpPr>
        <xdr:cNvPr id="7" name="Rounded Rectangle 6">
          <a:extLst>
            <a:ext uri="{FF2B5EF4-FFF2-40B4-BE49-F238E27FC236}">
              <a16:creationId xmlns:a16="http://schemas.microsoft.com/office/drawing/2014/main" id="{00000000-0008-0000-1100-000007000000}"/>
            </a:ext>
          </a:extLst>
        </xdr:cNvPr>
        <xdr:cNvSpPr/>
      </xdr:nvSpPr>
      <xdr:spPr>
        <a:xfrm>
          <a:off x="4695826" y="2286001"/>
          <a:ext cx="1609725" cy="200024"/>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Search</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sian%20Support%20Department/Asian%20Team%20Leader/TL%20Assistant/Asian%20CS%20Team%20Development%20Hub%20-%20Team%20Leader%20Vers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ll Contacts"/>
      <sheetName val="Dashboard"/>
      <sheetName val="Performance Stats"/>
      <sheetName val="TD Planner"/>
      <sheetName val="New Bonus File"/>
      <sheetName val="Staffs"/>
      <sheetName val="Existing Bonus File"/>
      <sheetName val="TeamLeader"/>
      <sheetName val="Supervisor"/>
      <sheetName val="ColumnName"/>
      <sheetName val="Employee Management"/>
      <sheetName val="Configuration"/>
      <sheetName val="Sheet1"/>
      <sheetName val="Sheet2"/>
      <sheetName val="Email Content"/>
      <sheetName val="EmailAddress"/>
      <sheetName val="Urgent Escalation"/>
      <sheetName val="PDP"/>
      <sheetName val="Meeting 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000">
            <a:latin typeface="Arial" panose="020B0604020202020204" pitchFamily="34" charset="0"/>
            <a:cs typeface="Arial" panose="020B0604020202020204" pitchFamily="34" charset="0"/>
          </a:defRPr>
        </a:defPPr>
      </a:lstStyle>
      <a:style>
        <a:lnRef idx="1">
          <a:schemeClr val="accent2"/>
        </a:lnRef>
        <a:fillRef idx="3">
          <a:schemeClr val="accent2"/>
        </a:fillRef>
        <a:effectRef idx="2">
          <a:schemeClr val="accent2"/>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Asian%20Team%20Leader/Team%20Development/1_Team%20Records/Day%20Shift/Chaohui%20Feng/Advisor%20Folder/Tim%20Chen/Performance%20Review/Tim%20Chen%202024%20Q3.xlsx" TargetMode="Externa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Asian%20Team%20Leader/Team%20Development/1_Team%20Records/Day%20Shift/Xiangyi%20Tan/Advisor/Anyi/Urgent%20escalation/Review%20Outcome%2008112024%20MET.xlsx" TargetMode="External"/></Relationships>
</file>

<file path=xl/worksheets/_rels/sheet17.xml.rels><?xml version="1.0" encoding="UTF-8" standalone="yes"?>
<Relationships xmlns="http://schemas.openxmlformats.org/package/2006/relationships"><Relationship Id="rId3" Type="http://schemas.openxmlformats.org/officeDocument/2006/relationships/hyperlink" Target="../../../Asian%20Team%20Leader/Team%20Development/1_Team%20Records/Day%20Shift/Paula%20Yang/Advisors/Chi%20Feng/Meeting%20Record/PDP/Feng%20Chi''s%20PDP.xlsx" TargetMode="External"/><Relationship Id="rId7" Type="http://schemas.openxmlformats.org/officeDocument/2006/relationships/drawing" Target="../drawings/drawing7.xml"/><Relationship Id="rId2" Type="http://schemas.openxmlformats.org/officeDocument/2006/relationships/hyperlink" Target="../../../Asian%20Team%20Leader/Team%20Development/1_Team%20Records/Day%20Shift/Paula%20Yang/Advisors/Chi%20Feng/Meeting%20Record/Coaching/Coaching%20record%2001012025.docx" TargetMode="External"/><Relationship Id="rId1" Type="http://schemas.openxmlformats.org/officeDocument/2006/relationships/hyperlink" Target="../../../Asian%20Team%20Leader/Team%20Development/1_Team%20Records/Day%20Shift/Lu%20Wang/Advisor/Amanda%20Li/Urgent%20Escalation/2025/Review%20Outcome%2005012025%20MET-Amanda%20Li.xlsx" TargetMode="External"/><Relationship Id="rId6" Type="http://schemas.openxmlformats.org/officeDocument/2006/relationships/printerSettings" Target="../printerSettings/printerSettings9.bin"/><Relationship Id="rId5" Type="http://schemas.openxmlformats.org/officeDocument/2006/relationships/hyperlink" Target="../../../Asian%20Team%20Leader/Team%20Development/1_Team%20Records/Day%20Shift/Paula%20Yang/Advisors/Chi%20Feng/Meeting%20Record/reminder%20emails/08012025%20Call%209153718486950005231/RE%20Reminder%20-%20Record%20Complaint.htm" TargetMode="External"/><Relationship Id="rId4" Type="http://schemas.openxmlformats.org/officeDocument/2006/relationships/hyperlink" Target="../../../Asian%20Team%20Leader/Team%20Development/1_Team%20Records/Day%20Shift/Paula%20Yang/Advisors/Chi%20Feng/Urgent%20Escalation/08012025%20Call%209153718486950005231/Review%20Outcome%20%2008012025%20Call%209153718486950005231.xlsx" TargetMode="Externa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T2"/>
  <sheetViews>
    <sheetView workbookViewId="0">
      <selection activeCell="AC2" sqref="AB2:AC2"/>
    </sheetView>
  </sheetViews>
  <sheetFormatPr defaultRowHeight="12.75" x14ac:dyDescent="0.2"/>
  <cols>
    <col min="1" max="1" width="18.28515625" bestFit="1" customWidth="1"/>
    <col min="2" max="2" width="17" bestFit="1" customWidth="1"/>
    <col min="3" max="3" width="10" bestFit="1" customWidth="1"/>
    <col min="4" max="4" width="15.42578125" bestFit="1" customWidth="1"/>
    <col min="5" max="5" width="6.140625" bestFit="1" customWidth="1"/>
    <col min="6" max="16" width="3.140625" bestFit="1" customWidth="1"/>
    <col min="17" max="19" width="2.5703125" bestFit="1" customWidth="1"/>
    <col min="20" max="23" width="3" bestFit="1" customWidth="1"/>
    <col min="24" max="25" width="3.140625" bestFit="1" customWidth="1"/>
    <col min="26" max="26" width="5" bestFit="1" customWidth="1"/>
    <col min="27" max="27" width="3.140625" bestFit="1" customWidth="1"/>
    <col min="28" max="28" width="5.85546875" bestFit="1" customWidth="1"/>
    <col min="30" max="30" width="24.42578125" bestFit="1" customWidth="1"/>
    <col min="31" max="31" width="33.42578125" bestFit="1" customWidth="1"/>
    <col min="32" max="32" width="18.7109375" bestFit="1" customWidth="1"/>
    <col min="33" max="33" width="27" bestFit="1" customWidth="1"/>
    <col min="34" max="34" width="18.140625" bestFit="1" customWidth="1"/>
    <col min="35" max="35" width="40.7109375" bestFit="1" customWidth="1"/>
    <col min="36" max="36" width="26.5703125" bestFit="1" customWidth="1"/>
    <col min="37" max="37" width="40.28515625" bestFit="1" customWidth="1"/>
    <col min="38" max="38" width="39.7109375" bestFit="1" customWidth="1"/>
    <col min="39" max="39" width="33.140625" bestFit="1" customWidth="1"/>
    <col min="40" max="40" width="29.85546875" bestFit="1" customWidth="1"/>
    <col min="41" max="41" width="22.5703125" bestFit="1" customWidth="1"/>
    <col min="42" max="42" width="36.28515625" bestFit="1" customWidth="1"/>
    <col min="43" max="43" width="17" bestFit="1" customWidth="1"/>
    <col min="44" max="44" width="23.5703125" bestFit="1" customWidth="1"/>
    <col min="45" max="45" width="34.28515625" bestFit="1" customWidth="1"/>
    <col min="46" max="46" width="50.5703125" bestFit="1" customWidth="1"/>
  </cols>
  <sheetData>
    <row r="1" spans="1:46" s="172" customFormat="1" ht="15.75" thickBot="1" x14ac:dyDescent="0.3">
      <c r="A1" s="166" t="s">
        <v>260</v>
      </c>
      <c r="B1" s="167" t="s">
        <v>210</v>
      </c>
      <c r="C1" s="168" t="s">
        <v>212</v>
      </c>
      <c r="D1" s="168" t="s">
        <v>214</v>
      </c>
      <c r="E1" s="169" t="s">
        <v>216</v>
      </c>
      <c r="F1" s="167" t="s">
        <v>218</v>
      </c>
      <c r="G1" s="167" t="s">
        <v>220</v>
      </c>
      <c r="H1" s="167" t="s">
        <v>222</v>
      </c>
      <c r="I1" s="167" t="s">
        <v>224</v>
      </c>
      <c r="J1" s="167" t="s">
        <v>228</v>
      </c>
      <c r="K1" s="167" t="s">
        <v>231</v>
      </c>
      <c r="L1" s="167" t="s">
        <v>233</v>
      </c>
      <c r="M1" s="167" t="s">
        <v>235</v>
      </c>
      <c r="N1" s="167" t="s">
        <v>237</v>
      </c>
      <c r="O1" s="167" t="s">
        <v>240</v>
      </c>
      <c r="P1" s="167" t="s">
        <v>242</v>
      </c>
      <c r="Q1" s="167" t="s">
        <v>244</v>
      </c>
      <c r="R1" s="167" t="s">
        <v>246</v>
      </c>
      <c r="S1" s="167" t="s">
        <v>248</v>
      </c>
      <c r="T1" s="170" t="s">
        <v>252</v>
      </c>
      <c r="U1" s="170" t="s">
        <v>254</v>
      </c>
      <c r="V1" s="170" t="s">
        <v>250</v>
      </c>
      <c r="W1" s="170" t="s">
        <v>257</v>
      </c>
      <c r="X1" s="167" t="s">
        <v>258</v>
      </c>
      <c r="Y1" s="167" t="s">
        <v>432</v>
      </c>
      <c r="Z1" s="167" t="s">
        <v>85</v>
      </c>
      <c r="AA1" s="170" t="s">
        <v>86</v>
      </c>
      <c r="AB1" s="171" t="s">
        <v>422</v>
      </c>
      <c r="AC1" s="170" t="s">
        <v>421</v>
      </c>
      <c r="AD1" s="160" t="s">
        <v>326</v>
      </c>
      <c r="AE1" s="158" t="s">
        <v>398</v>
      </c>
      <c r="AF1" s="161" t="s">
        <v>291</v>
      </c>
      <c r="AG1" s="162" t="s">
        <v>312</v>
      </c>
      <c r="AH1" s="163" t="s">
        <v>314</v>
      </c>
      <c r="AI1" s="162" t="s">
        <v>401</v>
      </c>
      <c r="AJ1" s="163" t="s">
        <v>294</v>
      </c>
      <c r="AK1" s="162" t="s">
        <v>306</v>
      </c>
      <c r="AL1" s="159" t="s">
        <v>310</v>
      </c>
      <c r="AM1" s="159" t="s">
        <v>318</v>
      </c>
      <c r="AN1" s="163" t="s">
        <v>322</v>
      </c>
      <c r="AO1" s="162" t="s">
        <v>319</v>
      </c>
      <c r="AP1" s="159" t="s">
        <v>320</v>
      </c>
      <c r="AQ1" s="163" t="s">
        <v>321</v>
      </c>
      <c r="AR1" s="162" t="s">
        <v>325</v>
      </c>
      <c r="AS1" s="159" t="s">
        <v>297</v>
      </c>
      <c r="AT1" s="163" t="s">
        <v>323</v>
      </c>
    </row>
    <row r="2" spans="1:46" x14ac:dyDescent="0.2">
      <c r="AC2" s="113"/>
    </row>
  </sheetData>
  <conditionalFormatting sqref="AT1 AD1:AK1 AN1:AR1">
    <cfRule type="expression" dxfId="152" priority="1">
      <formula>$C2&lt;&gt;""</formula>
    </cfRule>
  </conditionalFormatting>
  <conditionalFormatting sqref="AS1">
    <cfRule type="expression" dxfId="151" priority="2">
      <formula>#REF!&lt;&gt;""</formula>
    </cfRule>
  </conditionalFormatting>
  <conditionalFormatting sqref="AL1">
    <cfRule type="expression" dxfId="150" priority="3">
      <formula>$C3&lt;&gt;""</formula>
    </cfRule>
  </conditionalFormatting>
  <conditionalFormatting sqref="AM1">
    <cfRule type="expression" dxfId="149" priority="4">
      <formula>#REF!&lt;&gt;""</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O29"/>
  <sheetViews>
    <sheetView showGridLines="0" tabSelected="1" workbookViewId="0">
      <pane xSplit="4" topLeftCell="E1" activePane="topRight" state="frozen"/>
      <selection pane="topRight" activeCell="E5" sqref="E5"/>
    </sheetView>
  </sheetViews>
  <sheetFormatPr defaultRowHeight="12.75" x14ac:dyDescent="0.2"/>
  <cols>
    <col min="1" max="1" width="0.5703125" style="246" customWidth="1"/>
    <col min="2" max="2" width="17.42578125" style="246" bestFit="1" customWidth="1"/>
    <col min="3" max="3" width="1.7109375" style="51" customWidth="1"/>
    <col min="4" max="4" width="13.7109375" style="4" bestFit="1" customWidth="1"/>
    <col min="5" max="5" width="11.5703125" style="4" bestFit="1" customWidth="1"/>
    <col min="6" max="6" width="13.28515625" style="4" bestFit="1" customWidth="1"/>
    <col min="7" max="7" width="6.85546875" style="4" customWidth="1"/>
    <col min="8" max="8" width="12.7109375" style="4" bestFit="1" customWidth="1"/>
    <col min="9" max="9" width="7" style="4" bestFit="1" customWidth="1"/>
    <col min="10" max="10" width="14.7109375" style="10" bestFit="1" customWidth="1"/>
    <col min="11" max="11" width="3.5703125" style="186" bestFit="1" customWidth="1"/>
    <col min="12" max="12" width="4" style="186" bestFit="1" customWidth="1"/>
    <col min="13" max="13" width="3.7109375" style="186" bestFit="1" customWidth="1"/>
    <col min="14" max="14" width="3.5703125" style="186" bestFit="1" customWidth="1"/>
    <col min="15" max="15" width="4" style="186" bestFit="1" customWidth="1"/>
    <col min="16" max="16" width="3.7109375" style="186" bestFit="1" customWidth="1"/>
    <col min="17" max="17" width="3.5703125" style="186" bestFit="1" customWidth="1"/>
    <col min="18" max="18" width="4" style="186" bestFit="1" customWidth="1"/>
    <col min="19" max="19" width="3.7109375" style="186" bestFit="1" customWidth="1"/>
    <col min="20" max="20" width="12.7109375" style="52" bestFit="1" customWidth="1"/>
    <col min="21" max="21" width="11.85546875" style="52" bestFit="1" customWidth="1"/>
    <col min="22" max="22" width="12.85546875" style="52" bestFit="1" customWidth="1"/>
    <col min="23" max="23" width="11.5703125" style="183" customWidth="1"/>
    <col min="24" max="24" width="5.7109375" style="4" bestFit="1" customWidth="1"/>
    <col min="25" max="25" width="14.7109375" style="284" bestFit="1" customWidth="1"/>
    <col min="26" max="26" width="6.7109375" style="4" bestFit="1" customWidth="1"/>
    <col min="27" max="27" width="15.42578125" style="284" bestFit="1" customWidth="1"/>
    <col min="28" max="28" width="6.85546875" style="4" bestFit="1" customWidth="1"/>
    <col min="29" max="29" width="15.140625" style="284" bestFit="1" customWidth="1"/>
    <col min="30" max="30" width="14.140625" style="53" bestFit="1" customWidth="1"/>
    <col min="31" max="31" width="14.5703125" style="53" bestFit="1" customWidth="1"/>
    <col min="32" max="32" width="15.5703125" style="53" bestFit="1" customWidth="1"/>
    <col min="33" max="33" width="21" style="4" customWidth="1"/>
    <col min="34" max="34" width="13.5703125" style="4" bestFit="1" customWidth="1"/>
    <col min="35" max="35" width="4" style="4" bestFit="1" customWidth="1"/>
    <col min="36" max="36" width="14.140625" style="49" bestFit="1" customWidth="1"/>
    <col min="37" max="37" width="3.7109375" style="4" bestFit="1" customWidth="1"/>
    <col min="38" max="38" width="13.7109375" style="4" bestFit="1" customWidth="1"/>
    <col min="39" max="39" width="14.85546875" style="4" customWidth="1"/>
    <col min="40" max="40" width="13.28515625" style="4" bestFit="1" customWidth="1"/>
    <col min="41" max="42" width="24.28515625" style="4" bestFit="1" customWidth="1"/>
    <col min="43" max="43" width="9.140625" style="4"/>
    <col min="44" max="44" width="13.7109375" style="4" bestFit="1" customWidth="1"/>
    <col min="45" max="45" width="12.5703125" style="4" bestFit="1" customWidth="1"/>
    <col min="46" max="46" width="20.28515625" style="310" bestFit="1" customWidth="1"/>
    <col min="47" max="47" width="54.7109375" style="4" bestFit="1" customWidth="1"/>
    <col min="48" max="48" width="24.28515625" style="4" bestFit="1" customWidth="1"/>
    <col min="49" max="49" width="12.85546875" style="4" bestFit="1" customWidth="1"/>
    <col min="50" max="50" width="15.42578125" style="4" bestFit="1" customWidth="1"/>
    <col min="51" max="51" width="11.85546875" style="4" bestFit="1" customWidth="1"/>
    <col min="52" max="52" width="7.7109375" style="4" bestFit="1" customWidth="1"/>
    <col min="53" max="53" width="13.7109375" style="4" bestFit="1" customWidth="1"/>
    <col min="54" max="54" width="13.140625" style="15" bestFit="1" customWidth="1"/>
    <col min="55" max="55" width="13.5703125" style="29" bestFit="1" customWidth="1"/>
    <col min="56" max="56" width="12.7109375" style="4" bestFit="1" customWidth="1"/>
    <col min="57" max="57" width="14.28515625" style="4" bestFit="1" customWidth="1"/>
    <col min="58" max="58" width="17.28515625" style="4" bestFit="1" customWidth="1"/>
    <col min="59" max="59" width="12.28515625" style="4" bestFit="1" customWidth="1"/>
    <col min="60" max="60" width="50.5703125" style="4" bestFit="1" customWidth="1"/>
    <col min="61" max="61" width="9.140625" style="4"/>
    <col min="62" max="62" width="13.7109375" style="4" bestFit="1" customWidth="1"/>
    <col min="63" max="63" width="58.140625" style="4" bestFit="1" customWidth="1"/>
    <col min="64" max="64" width="10.28515625" style="15" bestFit="1" customWidth="1"/>
    <col min="65" max="65" width="9.5703125" style="4" bestFit="1" customWidth="1"/>
    <col min="66" max="66" width="11" style="4" bestFit="1" customWidth="1"/>
    <col min="67" max="67" width="18.140625" style="4" bestFit="1" customWidth="1"/>
    <col min="68" max="16384" width="9.140625" style="2"/>
  </cols>
  <sheetData>
    <row r="1" spans="2:67" s="142" customFormat="1" ht="39.75" customHeight="1" x14ac:dyDescent="0.2">
      <c r="C1" s="143"/>
      <c r="H1" s="144"/>
      <c r="I1" s="144"/>
      <c r="J1" s="144"/>
      <c r="K1" s="185"/>
      <c r="L1" s="185"/>
      <c r="M1" s="185"/>
      <c r="N1" s="185"/>
      <c r="O1" s="185"/>
      <c r="P1" s="185"/>
      <c r="Q1" s="185"/>
      <c r="R1" s="185"/>
      <c r="S1" s="185"/>
      <c r="T1" s="145"/>
      <c r="U1" s="145"/>
      <c r="V1" s="145"/>
      <c r="W1" s="181"/>
      <c r="X1" s="144"/>
      <c r="Y1" s="283"/>
      <c r="Z1" s="144"/>
      <c r="AA1" s="283"/>
      <c r="AB1" s="144"/>
      <c r="AC1" s="286"/>
      <c r="AD1" s="277" t="s">
        <v>84</v>
      </c>
      <c r="AE1" s="277" t="s">
        <v>83</v>
      </c>
      <c r="AF1" s="146"/>
      <c r="AJ1" s="143"/>
      <c r="AT1" s="332"/>
      <c r="BB1" s="335"/>
      <c r="BC1" s="337"/>
      <c r="BL1" s="335"/>
    </row>
    <row r="2" spans="2:67" x14ac:dyDescent="0.2">
      <c r="B2" s="248" t="s">
        <v>119</v>
      </c>
    </row>
    <row r="4" spans="2:67" x14ac:dyDescent="0.2">
      <c r="B4" s="248" t="s">
        <v>434</v>
      </c>
    </row>
    <row r="5" spans="2:67" x14ac:dyDescent="0.2">
      <c r="D5" s="257" t="s">
        <v>73</v>
      </c>
      <c r="E5" s="82"/>
      <c r="F5" s="4" t="s">
        <v>120</v>
      </c>
      <c r="G5" s="3"/>
      <c r="H5" s="52" t="s">
        <v>121</v>
      </c>
      <c r="I5" s="288"/>
      <c r="AL5" s="30" t="s">
        <v>73</v>
      </c>
      <c r="AM5" s="326" t="s">
        <v>51</v>
      </c>
      <c r="AN5" s="4" t="s">
        <v>120</v>
      </c>
      <c r="AO5" s="331"/>
      <c r="AP5" s="52" t="s">
        <v>121</v>
      </c>
      <c r="AQ5" s="288"/>
    </row>
    <row r="6" spans="2:67" x14ac:dyDescent="0.2">
      <c r="B6" s="248" t="s">
        <v>435</v>
      </c>
      <c r="K6" s="341" t="s">
        <v>415</v>
      </c>
      <c r="L6" s="341"/>
      <c r="M6" s="341"/>
      <c r="N6" s="341" t="s">
        <v>417</v>
      </c>
      <c r="O6" s="341"/>
      <c r="P6" s="341"/>
      <c r="Q6" s="341" t="s">
        <v>418</v>
      </c>
      <c r="R6" s="341"/>
      <c r="S6" s="341"/>
    </row>
    <row r="7" spans="2:67" x14ac:dyDescent="0.2">
      <c r="D7" s="54" t="s">
        <v>123</v>
      </c>
      <c r="E7" s="54" t="s">
        <v>14</v>
      </c>
      <c r="F7" s="54" t="s">
        <v>19</v>
      </c>
      <c r="G7" s="54" t="s">
        <v>87</v>
      </c>
      <c r="H7" s="54" t="s">
        <v>85</v>
      </c>
      <c r="I7" s="54" t="s">
        <v>86</v>
      </c>
      <c r="J7" s="54" t="s">
        <v>124</v>
      </c>
      <c r="K7" s="187" t="s">
        <v>104</v>
      </c>
      <c r="L7" s="187" t="s">
        <v>105</v>
      </c>
      <c r="M7" s="187" t="s">
        <v>106</v>
      </c>
      <c r="N7" s="187" t="s">
        <v>104</v>
      </c>
      <c r="O7" s="187" t="s">
        <v>105</v>
      </c>
      <c r="P7" s="187" t="s">
        <v>106</v>
      </c>
      <c r="Q7" s="187" t="s">
        <v>104</v>
      </c>
      <c r="R7" s="187" t="s">
        <v>105</v>
      </c>
      <c r="S7" s="187" t="s">
        <v>106</v>
      </c>
      <c r="T7" s="55" t="s">
        <v>94</v>
      </c>
      <c r="U7" s="55" t="s">
        <v>95</v>
      </c>
      <c r="V7" s="55" t="s">
        <v>96</v>
      </c>
      <c r="W7" s="182" t="s">
        <v>125</v>
      </c>
      <c r="X7" s="54" t="s">
        <v>104</v>
      </c>
      <c r="Y7" s="285" t="s">
        <v>107</v>
      </c>
      <c r="Z7" s="54" t="s">
        <v>105</v>
      </c>
      <c r="AA7" s="285" t="s">
        <v>108</v>
      </c>
      <c r="AB7" s="54" t="s">
        <v>106</v>
      </c>
      <c r="AC7" s="285" t="s">
        <v>109</v>
      </c>
      <c r="AD7" s="56" t="s">
        <v>101</v>
      </c>
      <c r="AE7" s="56" t="s">
        <v>102</v>
      </c>
      <c r="AF7" s="56" t="s">
        <v>103</v>
      </c>
      <c r="AG7" s="56" t="s">
        <v>126</v>
      </c>
      <c r="AL7" s="56" t="s">
        <v>637</v>
      </c>
      <c r="AM7" s="56" t="s">
        <v>12</v>
      </c>
      <c r="AN7" s="56" t="s">
        <v>638</v>
      </c>
      <c r="AO7" s="56" t="s">
        <v>639</v>
      </c>
      <c r="AP7" s="56" t="s">
        <v>640</v>
      </c>
      <c r="AR7" s="56" t="s">
        <v>123</v>
      </c>
      <c r="AS7" s="56" t="s">
        <v>356</v>
      </c>
      <c r="AT7" s="333" t="s">
        <v>259</v>
      </c>
      <c r="AU7" s="56" t="s">
        <v>333</v>
      </c>
      <c r="AV7" s="56" t="s">
        <v>358</v>
      </c>
      <c r="AW7" s="56" t="s">
        <v>359</v>
      </c>
      <c r="AX7" s="56" t="s">
        <v>357</v>
      </c>
      <c r="AY7" s="56" t="s">
        <v>595</v>
      </c>
      <c r="BA7" s="56" t="s">
        <v>123</v>
      </c>
      <c r="BB7" s="336" t="s">
        <v>611</v>
      </c>
      <c r="BC7" s="338" t="s">
        <v>612</v>
      </c>
      <c r="BD7" s="56" t="s">
        <v>613</v>
      </c>
      <c r="BE7" s="56" t="s">
        <v>615</v>
      </c>
      <c r="BF7" s="56" t="s">
        <v>614</v>
      </c>
      <c r="BG7" s="56" t="s">
        <v>616</v>
      </c>
      <c r="BH7" s="56" t="s">
        <v>635</v>
      </c>
      <c r="BJ7" s="56" t="s">
        <v>123</v>
      </c>
      <c r="BK7" s="56" t="s">
        <v>388</v>
      </c>
      <c r="BL7" s="336" t="s">
        <v>389</v>
      </c>
      <c r="BM7" s="56" t="s">
        <v>390</v>
      </c>
      <c r="BN7" s="56" t="s">
        <v>391</v>
      </c>
      <c r="BO7" s="56" t="s">
        <v>443</v>
      </c>
    </row>
    <row r="8" spans="2:67" ht="15" x14ac:dyDescent="0.25">
      <c r="B8" s="248" t="s">
        <v>441</v>
      </c>
      <c r="J8" s="99"/>
      <c r="K8" s="184"/>
      <c r="L8" s="184"/>
      <c r="M8" s="184"/>
      <c r="N8" s="184"/>
      <c r="O8" s="184"/>
      <c r="P8" s="184"/>
      <c r="Q8" s="184"/>
      <c r="R8" s="184"/>
      <c r="S8" s="184"/>
      <c r="X8" s="12"/>
      <c r="AG8" s="99"/>
      <c r="AN8" s="99"/>
      <c r="AP8" s="99"/>
      <c r="AS8" s="15"/>
      <c r="AT8" s="334"/>
      <c r="AV8" s="99"/>
      <c r="AX8" s="99"/>
      <c r="AY8" s="99"/>
      <c r="BG8" s="99"/>
      <c r="BM8" s="99"/>
    </row>
    <row r="9" spans="2:67" ht="15" x14ac:dyDescent="0.25">
      <c r="J9" s="99"/>
      <c r="K9" s="184"/>
      <c r="L9" s="184"/>
      <c r="M9" s="184"/>
      <c r="N9" s="184"/>
      <c r="O9" s="184"/>
      <c r="P9" s="184"/>
      <c r="Q9" s="184"/>
      <c r="R9" s="184"/>
      <c r="S9" s="184"/>
      <c r="X9" s="12"/>
      <c r="AG9" s="99"/>
      <c r="AN9" s="99"/>
      <c r="AS9" s="15"/>
      <c r="AT9" s="334"/>
      <c r="AV9" s="99"/>
      <c r="AX9" s="99"/>
      <c r="BG9" s="99"/>
    </row>
    <row r="10" spans="2:67" ht="15" x14ac:dyDescent="0.25">
      <c r="B10" s="248" t="s">
        <v>436</v>
      </c>
      <c r="J10" s="99"/>
      <c r="K10" s="184"/>
      <c r="L10" s="184"/>
      <c r="M10" s="184"/>
      <c r="N10" s="184"/>
      <c r="O10" s="184"/>
      <c r="P10" s="184"/>
      <c r="Q10" s="184"/>
      <c r="R10" s="184"/>
      <c r="S10" s="184"/>
      <c r="X10" s="12"/>
      <c r="AG10" s="99"/>
      <c r="AN10" s="99"/>
      <c r="AS10" s="15"/>
      <c r="AT10" s="334"/>
      <c r="AV10" s="99"/>
      <c r="AX10" s="99"/>
      <c r="BG10" s="99"/>
    </row>
    <row r="11" spans="2:67" ht="15" x14ac:dyDescent="0.25">
      <c r="J11" s="99"/>
      <c r="K11" s="184"/>
      <c r="L11" s="184"/>
      <c r="M11" s="184"/>
      <c r="N11" s="184"/>
      <c r="O11" s="184"/>
      <c r="P11" s="184"/>
      <c r="Q11" s="184"/>
      <c r="R11" s="184"/>
      <c r="S11" s="184"/>
      <c r="X11" s="12"/>
      <c r="AG11" s="99"/>
      <c r="AN11" s="99"/>
      <c r="AS11" s="15"/>
      <c r="AT11" s="334"/>
      <c r="AV11" s="99"/>
    </row>
    <row r="12" spans="2:67" ht="15" x14ac:dyDescent="0.25">
      <c r="B12" s="248" t="s">
        <v>378</v>
      </c>
      <c r="J12" s="99"/>
      <c r="K12" s="184"/>
      <c r="L12" s="184"/>
      <c r="M12" s="184"/>
      <c r="N12" s="184"/>
      <c r="O12" s="184"/>
      <c r="P12" s="184"/>
      <c r="Q12" s="184"/>
      <c r="R12" s="184"/>
      <c r="S12" s="184"/>
      <c r="AG12" s="99"/>
      <c r="AN12" s="99"/>
      <c r="AO12" s="99"/>
      <c r="AP12" s="99"/>
    </row>
    <row r="13" spans="2:67" ht="15" x14ac:dyDescent="0.25">
      <c r="J13" s="99"/>
      <c r="K13" s="188"/>
      <c r="L13" s="188"/>
      <c r="M13" s="188"/>
      <c r="N13" s="188"/>
      <c r="O13" s="188"/>
      <c r="P13" s="188"/>
      <c r="Q13" s="188"/>
      <c r="R13" s="188"/>
      <c r="S13" s="188"/>
      <c r="AG13" s="99"/>
      <c r="AN13" s="99"/>
    </row>
    <row r="14" spans="2:67" ht="15" x14ac:dyDescent="0.25">
      <c r="B14" s="248" t="s">
        <v>437</v>
      </c>
      <c r="J14" s="99"/>
      <c r="K14" s="188"/>
      <c r="L14" s="188"/>
      <c r="M14" s="188"/>
      <c r="N14" s="188"/>
      <c r="O14" s="188"/>
      <c r="P14" s="188"/>
      <c r="Q14" s="188"/>
      <c r="R14" s="188"/>
      <c r="S14" s="188"/>
      <c r="AG14" s="99"/>
      <c r="AN14" s="99"/>
    </row>
    <row r="15" spans="2:67" ht="15" x14ac:dyDescent="0.25">
      <c r="J15" s="99"/>
      <c r="K15" s="188"/>
      <c r="L15" s="188"/>
      <c r="M15" s="188"/>
      <c r="N15" s="188"/>
      <c r="O15" s="188"/>
      <c r="P15" s="188"/>
      <c r="Q15" s="188"/>
      <c r="R15" s="188"/>
      <c r="S15" s="188"/>
      <c r="AG15" s="99"/>
      <c r="AN15" s="99"/>
    </row>
    <row r="16" spans="2:67" ht="15" x14ac:dyDescent="0.25">
      <c r="B16" s="248" t="s">
        <v>617</v>
      </c>
      <c r="J16" s="99"/>
      <c r="K16" s="188"/>
      <c r="L16" s="188"/>
      <c r="M16" s="188"/>
      <c r="N16" s="188"/>
      <c r="O16" s="188"/>
      <c r="P16" s="188"/>
      <c r="Q16" s="188"/>
      <c r="R16" s="188"/>
      <c r="S16" s="188"/>
      <c r="AG16" s="99"/>
      <c r="AN16" s="99"/>
    </row>
    <row r="17" spans="10:40" ht="15" x14ac:dyDescent="0.25">
      <c r="J17" s="99"/>
      <c r="K17" s="188"/>
      <c r="L17" s="188"/>
      <c r="M17" s="188"/>
      <c r="N17" s="188"/>
      <c r="O17" s="188"/>
      <c r="P17" s="188"/>
      <c r="Q17" s="188"/>
      <c r="R17" s="188"/>
      <c r="S17" s="188"/>
      <c r="AG17" s="99"/>
      <c r="AN17" s="99"/>
    </row>
    <row r="18" spans="10:40" ht="15" x14ac:dyDescent="0.25">
      <c r="J18" s="99"/>
      <c r="K18" s="188"/>
      <c r="L18" s="188"/>
      <c r="M18" s="188"/>
      <c r="N18" s="188"/>
      <c r="O18" s="188"/>
      <c r="P18" s="188"/>
      <c r="Q18" s="188"/>
      <c r="R18" s="188"/>
      <c r="S18" s="188"/>
      <c r="AG18" s="99"/>
      <c r="AN18" s="99"/>
    </row>
    <row r="19" spans="10:40" ht="15" x14ac:dyDescent="0.25">
      <c r="J19" s="99"/>
      <c r="K19" s="188"/>
      <c r="L19" s="188"/>
      <c r="M19" s="188"/>
      <c r="N19" s="188"/>
      <c r="O19" s="188"/>
      <c r="P19" s="188"/>
      <c r="Q19" s="188"/>
      <c r="R19" s="188"/>
      <c r="S19" s="188"/>
      <c r="AG19" s="99"/>
    </row>
    <row r="20" spans="10:40" ht="15" x14ac:dyDescent="0.25">
      <c r="J20" s="99"/>
      <c r="K20" s="188"/>
      <c r="L20" s="188"/>
      <c r="M20" s="188"/>
      <c r="N20" s="188"/>
      <c r="O20" s="188"/>
      <c r="P20" s="188"/>
      <c r="Q20" s="188"/>
      <c r="R20" s="188"/>
      <c r="S20" s="188"/>
      <c r="AG20" s="99"/>
    </row>
    <row r="21" spans="10:40" ht="15" x14ac:dyDescent="0.25">
      <c r="J21" s="99"/>
      <c r="K21" s="188"/>
      <c r="L21" s="188"/>
      <c r="M21" s="188"/>
      <c r="N21" s="188"/>
      <c r="O21" s="188"/>
      <c r="P21" s="188"/>
      <c r="Q21" s="188"/>
      <c r="R21" s="188"/>
      <c r="S21" s="188"/>
      <c r="AG21" s="99"/>
    </row>
    <row r="22" spans="10:40" ht="15" x14ac:dyDescent="0.25">
      <c r="J22" s="99"/>
      <c r="K22" s="188"/>
      <c r="L22" s="188"/>
      <c r="M22" s="188"/>
      <c r="N22" s="188"/>
      <c r="O22" s="188"/>
      <c r="P22" s="188"/>
      <c r="Q22" s="188"/>
      <c r="R22" s="188"/>
      <c r="S22" s="188"/>
      <c r="AG22" s="99"/>
    </row>
    <row r="23" spans="10:40" ht="15" x14ac:dyDescent="0.25">
      <c r="J23" s="99"/>
      <c r="K23" s="188"/>
      <c r="L23" s="188"/>
      <c r="M23" s="188"/>
      <c r="N23" s="188"/>
      <c r="O23" s="188"/>
      <c r="P23" s="188"/>
      <c r="Q23" s="188"/>
      <c r="R23" s="188"/>
      <c r="S23" s="188"/>
      <c r="AG23" s="99"/>
    </row>
    <row r="24" spans="10:40" ht="15" x14ac:dyDescent="0.25">
      <c r="J24" s="99"/>
      <c r="K24" s="188"/>
      <c r="L24" s="188"/>
      <c r="M24" s="188"/>
      <c r="N24" s="188"/>
      <c r="O24" s="188"/>
      <c r="P24" s="188"/>
      <c r="Q24" s="188"/>
      <c r="R24" s="188"/>
      <c r="S24" s="188"/>
      <c r="AG24" s="99"/>
    </row>
    <row r="25" spans="10:40" ht="15" x14ac:dyDescent="0.25">
      <c r="J25" s="99"/>
      <c r="K25" s="188"/>
      <c r="L25" s="188"/>
      <c r="M25" s="188"/>
      <c r="N25" s="188"/>
      <c r="O25" s="188"/>
      <c r="P25" s="188"/>
      <c r="Q25" s="188"/>
      <c r="R25" s="188"/>
      <c r="S25" s="188"/>
      <c r="AG25" s="99"/>
    </row>
    <row r="26" spans="10:40" ht="15" x14ac:dyDescent="0.25">
      <c r="J26" s="99"/>
      <c r="K26" s="188"/>
      <c r="L26" s="188"/>
      <c r="M26" s="188"/>
      <c r="N26" s="188"/>
      <c r="O26" s="188"/>
      <c r="P26" s="188"/>
      <c r="Q26" s="188"/>
      <c r="R26" s="188"/>
      <c r="S26" s="188"/>
      <c r="AG26" s="99"/>
    </row>
    <row r="27" spans="10:40" ht="15" x14ac:dyDescent="0.25">
      <c r="J27" s="99"/>
      <c r="K27" s="188"/>
      <c r="L27" s="188"/>
      <c r="M27" s="188"/>
      <c r="N27" s="188"/>
      <c r="O27" s="188"/>
      <c r="P27" s="188"/>
      <c r="Q27" s="188"/>
      <c r="R27" s="188"/>
      <c r="S27" s="188"/>
      <c r="AG27" s="99"/>
    </row>
    <row r="28" spans="10:40" x14ac:dyDescent="0.2">
      <c r="J28" s="81"/>
      <c r="K28" s="188"/>
      <c r="L28" s="188"/>
      <c r="M28" s="188"/>
      <c r="N28" s="188"/>
      <c r="O28" s="188"/>
      <c r="P28" s="188"/>
      <c r="Q28" s="188"/>
      <c r="R28" s="188"/>
      <c r="S28" s="188"/>
    </row>
    <row r="29" spans="10:40" x14ac:dyDescent="0.2">
      <c r="J29" s="81"/>
      <c r="K29" s="188"/>
      <c r="L29" s="188"/>
      <c r="M29" s="188"/>
      <c r="N29" s="188"/>
      <c r="O29" s="188"/>
      <c r="P29" s="188"/>
      <c r="Q29" s="188"/>
      <c r="R29" s="188"/>
      <c r="S29" s="188"/>
    </row>
  </sheetData>
  <mergeCells count="3">
    <mergeCell ref="K6:M6"/>
    <mergeCell ref="N6:P6"/>
    <mergeCell ref="Q6:S6"/>
  </mergeCells>
  <conditionalFormatting sqref="D8:AG1000">
    <cfRule type="expression" dxfId="148" priority="41">
      <formula>$D8&lt;&gt;""</formula>
    </cfRule>
  </conditionalFormatting>
  <conditionalFormatting sqref="AF1:AF1048576">
    <cfRule type="dataBar" priority="40">
      <dataBar>
        <cfvo type="min"/>
        <cfvo type="max"/>
        <color rgb="FF63C384"/>
      </dataBar>
      <extLst>
        <ext xmlns:x14="http://schemas.microsoft.com/office/spreadsheetml/2009/9/main" uri="{B025F937-C7B1-47D3-B67F-A62EFF666E3E}">
          <x14:id>{814DC161-D0F7-423F-9F7F-F4B69FFCF526}</x14:id>
        </ext>
      </extLst>
    </cfRule>
  </conditionalFormatting>
  <conditionalFormatting sqref="AD1:AE1048576">
    <cfRule type="dataBar" priority="39">
      <dataBar>
        <cfvo type="min"/>
        <cfvo type="max"/>
        <color rgb="FF008AEF"/>
      </dataBar>
      <extLst>
        <ext xmlns:x14="http://schemas.microsoft.com/office/spreadsheetml/2009/9/main" uri="{B025F937-C7B1-47D3-B67F-A62EFF666E3E}">
          <x14:id>{9EC07244-2E7B-411A-9708-942662C9A685}</x14:id>
        </ext>
      </extLst>
    </cfRule>
  </conditionalFormatting>
  <conditionalFormatting sqref="AD1:AF1048576">
    <cfRule type="dataBar" priority="35">
      <dataBar>
        <cfvo type="min"/>
        <cfvo type="max"/>
        <color theme="8" tint="0.59999389629810485"/>
      </dataBar>
      <extLst>
        <ext xmlns:x14="http://schemas.microsoft.com/office/spreadsheetml/2009/9/main" uri="{B025F937-C7B1-47D3-B67F-A62EFF666E3E}">
          <x14:id>{D4BEE996-917E-49E4-ABBD-46FFA85F479E}</x14:id>
        </ext>
      </extLst>
    </cfRule>
    <cfRule type="dataBar" priority="37">
      <dataBar>
        <cfvo type="min"/>
        <cfvo type="max"/>
        <color theme="9" tint="0.39997558519241921"/>
      </dataBar>
      <extLst>
        <ext xmlns:x14="http://schemas.microsoft.com/office/spreadsheetml/2009/9/main" uri="{B025F937-C7B1-47D3-B67F-A62EFF666E3E}">
          <x14:id>{5C52D47C-F1A4-4904-8767-B60EB278F732}</x14:id>
        </ext>
      </extLst>
    </cfRule>
    <cfRule type="dataBar" priority="38">
      <dataBar>
        <cfvo type="min"/>
        <cfvo type="max"/>
        <color theme="9"/>
      </dataBar>
      <extLst>
        <ext xmlns:x14="http://schemas.microsoft.com/office/spreadsheetml/2009/9/main" uri="{B025F937-C7B1-47D3-B67F-A62EFF666E3E}">
          <x14:id>{2A3A7D3A-4048-4CBB-94FB-09793B752ADB}</x14:id>
        </ext>
      </extLst>
    </cfRule>
  </conditionalFormatting>
  <conditionalFormatting sqref="AC1:AC1048576">
    <cfRule type="colorScale" priority="36">
      <colorScale>
        <cfvo type="min"/>
        <cfvo type="max"/>
        <color rgb="FFFCFCFF"/>
        <color rgb="FF63BE7B"/>
      </colorScale>
    </cfRule>
  </conditionalFormatting>
  <conditionalFormatting sqref="AA1:AA1048576">
    <cfRule type="colorScale" priority="31">
      <colorScale>
        <cfvo type="min"/>
        <cfvo type="max"/>
        <color rgb="FFFCFCFF"/>
        <color rgb="FF63BE7B"/>
      </colorScale>
    </cfRule>
  </conditionalFormatting>
  <conditionalFormatting sqref="Y1:Y1048576">
    <cfRule type="colorScale" priority="29">
      <colorScale>
        <cfvo type="num" val="0"/>
        <cfvo type="num" val="1"/>
        <color theme="0"/>
        <color rgb="FFF8696B"/>
      </colorScale>
    </cfRule>
  </conditionalFormatting>
  <conditionalFormatting sqref="W1:W1048576">
    <cfRule type="cellIs" dxfId="147" priority="32" operator="equal">
      <formula>"Not Measure"</formula>
    </cfRule>
    <cfRule type="cellIs" dxfId="146" priority="33" operator="equal">
      <formula>"Not Met"</formula>
    </cfRule>
    <cfRule type="cellIs" dxfId="145" priority="34" operator="equal">
      <formula>"Met"</formula>
    </cfRule>
  </conditionalFormatting>
  <conditionalFormatting sqref="T1:V1048576">
    <cfRule type="colorScale" priority="30">
      <colorScale>
        <cfvo type="num" val="0"/>
        <cfvo type="num" val="7"/>
        <cfvo type="num" val="10"/>
        <color theme="5"/>
        <color theme="5" tint="0.79998168889431442"/>
        <color theme="8" tint="0.59999389629810485"/>
      </colorScale>
    </cfRule>
  </conditionalFormatting>
  <conditionalFormatting sqref="AG7">
    <cfRule type="dataBar" priority="27">
      <dataBar>
        <cfvo type="min"/>
        <cfvo type="max"/>
        <color rgb="FF63C384"/>
      </dataBar>
      <extLst>
        <ext xmlns:x14="http://schemas.microsoft.com/office/spreadsheetml/2009/9/main" uri="{B025F937-C7B1-47D3-B67F-A62EFF666E3E}">
          <x14:id>{F22FB603-F6C1-435D-B3E3-200B3A3585BB}</x14:id>
        </ext>
      </extLst>
    </cfRule>
  </conditionalFormatting>
  <conditionalFormatting sqref="AG7">
    <cfRule type="dataBar" priority="24">
      <dataBar>
        <cfvo type="min"/>
        <cfvo type="max"/>
        <color theme="8" tint="0.59999389629810485"/>
      </dataBar>
      <extLst>
        <ext xmlns:x14="http://schemas.microsoft.com/office/spreadsheetml/2009/9/main" uri="{B025F937-C7B1-47D3-B67F-A62EFF666E3E}">
          <x14:id>{17D89E2A-C832-44AA-B8F8-2DF17FCBD3D2}</x14:id>
        </ext>
      </extLst>
    </cfRule>
    <cfRule type="dataBar" priority="25">
      <dataBar>
        <cfvo type="min"/>
        <cfvo type="max"/>
        <color theme="9" tint="0.39997558519241921"/>
      </dataBar>
      <extLst>
        <ext xmlns:x14="http://schemas.microsoft.com/office/spreadsheetml/2009/9/main" uri="{B025F937-C7B1-47D3-B67F-A62EFF666E3E}">
          <x14:id>{7E22D8E5-37EB-4DDC-B497-789E5BAA4BA2}</x14:id>
        </ext>
      </extLst>
    </cfRule>
    <cfRule type="dataBar" priority="26">
      <dataBar>
        <cfvo type="min"/>
        <cfvo type="max"/>
        <color theme="9"/>
      </dataBar>
      <extLst>
        <ext xmlns:x14="http://schemas.microsoft.com/office/spreadsheetml/2009/9/main" uri="{B025F937-C7B1-47D3-B67F-A62EFF666E3E}">
          <x14:id>{06B722C0-1A9F-4853-BE94-1474CB91A725}</x14:id>
        </ext>
      </extLst>
    </cfRule>
  </conditionalFormatting>
  <conditionalFormatting sqref="K1:K2 N1:N2 Q1:Q2 Q8:Q1048576 N8:N1048576 K8:K1048576">
    <cfRule type="cellIs" dxfId="144" priority="23" operator="greaterThan">
      <formula>0</formula>
    </cfRule>
  </conditionalFormatting>
  <conditionalFormatting sqref="AL7:AP7">
    <cfRule type="dataBar" priority="22">
      <dataBar>
        <cfvo type="min"/>
        <cfvo type="max"/>
        <color rgb="FF63C384"/>
      </dataBar>
      <extLst>
        <ext xmlns:x14="http://schemas.microsoft.com/office/spreadsheetml/2009/9/main" uri="{B025F937-C7B1-47D3-B67F-A62EFF666E3E}">
          <x14:id>{788F16EF-2664-42CD-A7A3-243BB01BB488}</x14:id>
        </ext>
      </extLst>
    </cfRule>
  </conditionalFormatting>
  <conditionalFormatting sqref="AL7:AP7">
    <cfRule type="dataBar" priority="19">
      <dataBar>
        <cfvo type="min"/>
        <cfvo type="max"/>
        <color theme="8" tint="0.59999389629810485"/>
      </dataBar>
      <extLst>
        <ext xmlns:x14="http://schemas.microsoft.com/office/spreadsheetml/2009/9/main" uri="{B025F937-C7B1-47D3-B67F-A62EFF666E3E}">
          <x14:id>{9DCCE9A4-3F84-485C-95CC-E0F4039C4A59}</x14:id>
        </ext>
      </extLst>
    </cfRule>
    <cfRule type="dataBar" priority="20">
      <dataBar>
        <cfvo type="min"/>
        <cfvo type="max"/>
        <color theme="9" tint="0.39997558519241921"/>
      </dataBar>
      <extLst>
        <ext xmlns:x14="http://schemas.microsoft.com/office/spreadsheetml/2009/9/main" uri="{B025F937-C7B1-47D3-B67F-A62EFF666E3E}">
          <x14:id>{51664DA8-470E-4181-9516-5437635C9195}</x14:id>
        </ext>
      </extLst>
    </cfRule>
    <cfRule type="dataBar" priority="21">
      <dataBar>
        <cfvo type="min"/>
        <cfvo type="max"/>
        <color theme="9"/>
      </dataBar>
      <extLst>
        <ext xmlns:x14="http://schemas.microsoft.com/office/spreadsheetml/2009/9/main" uri="{B025F937-C7B1-47D3-B67F-A62EFF666E3E}">
          <x14:id>{5DE89C9F-875E-4AA1-AEE0-29C525649C98}</x14:id>
        </ext>
      </extLst>
    </cfRule>
  </conditionalFormatting>
  <conditionalFormatting sqref="AR7:AY7">
    <cfRule type="dataBar" priority="18">
      <dataBar>
        <cfvo type="min"/>
        <cfvo type="max"/>
        <color rgb="FF63C384"/>
      </dataBar>
      <extLst>
        <ext xmlns:x14="http://schemas.microsoft.com/office/spreadsheetml/2009/9/main" uri="{B025F937-C7B1-47D3-B67F-A62EFF666E3E}">
          <x14:id>{630C3C96-9988-41A2-8338-E66A2F4443EB}</x14:id>
        </ext>
      </extLst>
    </cfRule>
  </conditionalFormatting>
  <conditionalFormatting sqref="AR7:AY7">
    <cfRule type="dataBar" priority="15">
      <dataBar>
        <cfvo type="min"/>
        <cfvo type="max"/>
        <color theme="8" tint="0.59999389629810485"/>
      </dataBar>
      <extLst>
        <ext xmlns:x14="http://schemas.microsoft.com/office/spreadsheetml/2009/9/main" uri="{B025F937-C7B1-47D3-B67F-A62EFF666E3E}">
          <x14:id>{5D1FA0A1-7F6A-4778-9B72-002C14BEB130}</x14:id>
        </ext>
      </extLst>
    </cfRule>
    <cfRule type="dataBar" priority="16">
      <dataBar>
        <cfvo type="min"/>
        <cfvo type="max"/>
        <color theme="9" tint="0.39997558519241921"/>
      </dataBar>
      <extLst>
        <ext xmlns:x14="http://schemas.microsoft.com/office/spreadsheetml/2009/9/main" uri="{B025F937-C7B1-47D3-B67F-A62EFF666E3E}">
          <x14:id>{D8F1DE1F-D2E8-4446-98B0-50EC9F123EDD}</x14:id>
        </ext>
      </extLst>
    </cfRule>
    <cfRule type="dataBar" priority="17">
      <dataBar>
        <cfvo type="min"/>
        <cfvo type="max"/>
        <color theme="9"/>
      </dataBar>
      <extLst>
        <ext xmlns:x14="http://schemas.microsoft.com/office/spreadsheetml/2009/9/main" uri="{B025F937-C7B1-47D3-B67F-A62EFF666E3E}">
          <x14:id>{24504B93-7D7F-472A-B472-B6AD4E739D00}</x14:id>
        </ext>
      </extLst>
    </cfRule>
  </conditionalFormatting>
  <conditionalFormatting sqref="BA7:BH7">
    <cfRule type="dataBar" priority="14">
      <dataBar>
        <cfvo type="min"/>
        <cfvo type="max"/>
        <color rgb="FF63C384"/>
      </dataBar>
      <extLst>
        <ext xmlns:x14="http://schemas.microsoft.com/office/spreadsheetml/2009/9/main" uri="{B025F937-C7B1-47D3-B67F-A62EFF666E3E}">
          <x14:id>{C2A36D8B-59FF-4796-A66E-74BDA1619CAA}</x14:id>
        </ext>
      </extLst>
    </cfRule>
  </conditionalFormatting>
  <conditionalFormatting sqref="BA7:BH7">
    <cfRule type="dataBar" priority="11">
      <dataBar>
        <cfvo type="min"/>
        <cfvo type="max"/>
        <color theme="8" tint="0.59999389629810485"/>
      </dataBar>
      <extLst>
        <ext xmlns:x14="http://schemas.microsoft.com/office/spreadsheetml/2009/9/main" uri="{B025F937-C7B1-47D3-B67F-A62EFF666E3E}">
          <x14:id>{804F35A5-0BEF-47BC-B79D-FA526F6075AB}</x14:id>
        </ext>
      </extLst>
    </cfRule>
    <cfRule type="dataBar" priority="12">
      <dataBar>
        <cfvo type="min"/>
        <cfvo type="max"/>
        <color theme="9" tint="0.39997558519241921"/>
      </dataBar>
      <extLst>
        <ext xmlns:x14="http://schemas.microsoft.com/office/spreadsheetml/2009/9/main" uri="{B025F937-C7B1-47D3-B67F-A62EFF666E3E}">
          <x14:id>{5D79745B-2001-49DB-AB7C-A21B35CB86EB}</x14:id>
        </ext>
      </extLst>
    </cfRule>
    <cfRule type="dataBar" priority="13">
      <dataBar>
        <cfvo type="min"/>
        <cfvo type="max"/>
        <color theme="9"/>
      </dataBar>
      <extLst>
        <ext xmlns:x14="http://schemas.microsoft.com/office/spreadsheetml/2009/9/main" uri="{B025F937-C7B1-47D3-B67F-A62EFF666E3E}">
          <x14:id>{027671BF-8D41-4168-921B-31631B7381C8}</x14:id>
        </ext>
      </extLst>
    </cfRule>
  </conditionalFormatting>
  <conditionalFormatting sqref="BJ7:BO7">
    <cfRule type="dataBar" priority="10">
      <dataBar>
        <cfvo type="min"/>
        <cfvo type="max"/>
        <color rgb="FF63C384"/>
      </dataBar>
      <extLst>
        <ext xmlns:x14="http://schemas.microsoft.com/office/spreadsheetml/2009/9/main" uri="{B025F937-C7B1-47D3-B67F-A62EFF666E3E}">
          <x14:id>{7AC9520C-A426-4CFD-8736-971A98D84008}</x14:id>
        </ext>
      </extLst>
    </cfRule>
  </conditionalFormatting>
  <conditionalFormatting sqref="BJ7:BO7">
    <cfRule type="dataBar" priority="7">
      <dataBar>
        <cfvo type="min"/>
        <cfvo type="max"/>
        <color theme="8" tint="0.59999389629810485"/>
      </dataBar>
      <extLst>
        <ext xmlns:x14="http://schemas.microsoft.com/office/spreadsheetml/2009/9/main" uri="{B025F937-C7B1-47D3-B67F-A62EFF666E3E}">
          <x14:id>{6528EC5F-5EC4-43D6-B5D1-A678157D27E1}</x14:id>
        </ext>
      </extLst>
    </cfRule>
    <cfRule type="dataBar" priority="8">
      <dataBar>
        <cfvo type="min"/>
        <cfvo type="max"/>
        <color theme="9" tint="0.39997558519241921"/>
      </dataBar>
      <extLst>
        <ext xmlns:x14="http://schemas.microsoft.com/office/spreadsheetml/2009/9/main" uri="{B025F937-C7B1-47D3-B67F-A62EFF666E3E}">
          <x14:id>{E6CF6607-519F-4DCB-9AAD-1E3E02E5E3BF}</x14:id>
        </ext>
      </extLst>
    </cfRule>
    <cfRule type="dataBar" priority="9">
      <dataBar>
        <cfvo type="min"/>
        <cfvo type="max"/>
        <color theme="9"/>
      </dataBar>
      <extLst>
        <ext xmlns:x14="http://schemas.microsoft.com/office/spreadsheetml/2009/9/main" uri="{B025F937-C7B1-47D3-B67F-A62EFF666E3E}">
          <x14:id>{1D902FE6-FAAE-409A-9B66-0A21728F96C0}</x14:id>
        </ext>
      </extLst>
    </cfRule>
  </conditionalFormatting>
  <conditionalFormatting sqref="AL8:AP74">
    <cfRule type="expression" dxfId="143" priority="6">
      <formula>$AL8&lt;&gt;""</formula>
    </cfRule>
  </conditionalFormatting>
  <conditionalFormatting sqref="AR8:AY419">
    <cfRule type="expression" dxfId="142" priority="5">
      <formula>$AR8&lt;&gt;""</formula>
    </cfRule>
  </conditionalFormatting>
  <conditionalFormatting sqref="BA8:BH152">
    <cfRule type="expression" dxfId="141" priority="4">
      <formula>$BA8&lt;&gt;""</formula>
    </cfRule>
  </conditionalFormatting>
  <conditionalFormatting sqref="BJ8:BO423">
    <cfRule type="expression" dxfId="140" priority="3">
      <formula>$BJ8&lt;&gt;""</formula>
    </cfRule>
  </conditionalFormatting>
  <conditionalFormatting sqref="BA8:BH372">
    <cfRule type="expression" dxfId="139" priority="2">
      <formula>$BA8&lt;&gt;""</formula>
    </cfRule>
  </conditionalFormatting>
  <conditionalFormatting sqref="BJ8:BO80">
    <cfRule type="expression" dxfId="138" priority="1">
      <formula>$BJ8&lt;&gt;""</formula>
    </cfRule>
  </conditionalFormatting>
  <dataValidations count="1">
    <dataValidation type="list" allowBlank="1" showInputMessage="1" showErrorMessage="1" sqref="U5">
      <formula1>Period</formula1>
    </dataValidation>
  </dataValidations>
  <hyperlinks>
    <hyperlink ref="B2" location="Dashboard!A1" display="Dashboard"/>
    <hyperlink ref="B4" location="'Performance Stats'!A1" display="Performance Analysis"/>
    <hyperlink ref="B6" location="'TD Planner'!A1" display="TD Planner"/>
    <hyperlink ref="B10" location="'Urgent Escalation'!A1" display="Urgent Escalation"/>
    <hyperlink ref="B14" location="'Existing Bonus File'!A1" display="Contact Review File"/>
    <hyperlink ref="B8" location="'Employee Management'!A1" display="Staff Record"/>
    <hyperlink ref="B12" location="PDP!A1" display="PDP"/>
    <hyperlink ref="B16" location="'Meeting Log'!A1" display="Meeting Log"/>
  </hyperlink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814DC161-D0F7-423F-9F7F-F4B69FFCF526}">
            <x14:dataBar minLength="0" maxLength="100" border="1" negativeBarBorderColorSameAsPositive="0">
              <x14:cfvo type="autoMin"/>
              <x14:cfvo type="autoMax"/>
              <x14:borderColor rgb="FF63C384"/>
              <x14:negativeFillColor rgb="FFFF0000"/>
              <x14:negativeBorderColor rgb="FFFF0000"/>
              <x14:axisColor rgb="FF000000"/>
            </x14:dataBar>
          </x14:cfRule>
          <xm:sqref>AF1:AF1048576</xm:sqref>
        </x14:conditionalFormatting>
        <x14:conditionalFormatting xmlns:xm="http://schemas.microsoft.com/office/excel/2006/main">
          <x14:cfRule type="dataBar" id="{9EC07244-2E7B-411A-9708-942662C9A685}">
            <x14:dataBar minLength="0" maxLength="100" border="1" negativeBarBorderColorSameAsPositive="0">
              <x14:cfvo type="autoMin"/>
              <x14:cfvo type="autoMax"/>
              <x14:borderColor rgb="FF008AEF"/>
              <x14:negativeFillColor rgb="FFFF0000"/>
              <x14:negativeBorderColor rgb="FFFF0000"/>
              <x14:axisColor rgb="FF000000"/>
            </x14:dataBar>
          </x14:cfRule>
          <xm:sqref>AD1:AE1048576</xm:sqref>
        </x14:conditionalFormatting>
        <x14:conditionalFormatting xmlns:xm="http://schemas.microsoft.com/office/excel/2006/main">
          <x14:cfRule type="dataBar" id="{D4BEE996-917E-49E4-ABBD-46FFA85F479E}">
            <x14:dataBar minLength="0" maxLength="100">
              <x14:cfvo type="autoMin"/>
              <x14:cfvo type="autoMax"/>
              <x14:negativeFillColor rgb="FFFF0000"/>
              <x14:axisColor rgb="FF000000"/>
            </x14:dataBar>
          </x14:cfRule>
          <x14:cfRule type="dataBar" id="{5C52D47C-F1A4-4904-8767-B60EB278F732}">
            <x14:dataBar minLength="0" maxLength="100">
              <x14:cfvo type="autoMin"/>
              <x14:cfvo type="autoMax"/>
              <x14:negativeFillColor rgb="FFFF0000"/>
              <x14:axisColor rgb="FF000000"/>
            </x14:dataBar>
          </x14:cfRule>
          <x14:cfRule type="dataBar" id="{2A3A7D3A-4048-4CBB-94FB-09793B752ADB}">
            <x14:dataBar minLength="0" maxLength="100">
              <x14:cfvo type="autoMin"/>
              <x14:cfvo type="autoMax"/>
              <x14:negativeFillColor rgb="FFFF0000"/>
              <x14:axisColor rgb="FF000000"/>
            </x14:dataBar>
          </x14:cfRule>
          <xm:sqref>AD1:AF1048576</xm:sqref>
        </x14:conditionalFormatting>
        <x14:conditionalFormatting xmlns:xm="http://schemas.microsoft.com/office/excel/2006/main">
          <x14:cfRule type="dataBar" id="{F22FB603-F6C1-435D-B3E3-200B3A3585BB}">
            <x14:dataBar minLength="0" maxLength="100" border="1" negativeBarBorderColorSameAsPositive="0">
              <x14:cfvo type="autoMin"/>
              <x14:cfvo type="autoMax"/>
              <x14:borderColor rgb="FF63C384"/>
              <x14:negativeFillColor rgb="FFFF0000"/>
              <x14:negativeBorderColor rgb="FFFF0000"/>
              <x14:axisColor rgb="FF000000"/>
            </x14:dataBar>
          </x14:cfRule>
          <xm:sqref>AG7</xm:sqref>
        </x14:conditionalFormatting>
        <x14:conditionalFormatting xmlns:xm="http://schemas.microsoft.com/office/excel/2006/main">
          <x14:cfRule type="dataBar" id="{17D89E2A-C832-44AA-B8F8-2DF17FCBD3D2}">
            <x14:dataBar minLength="0" maxLength="100">
              <x14:cfvo type="autoMin"/>
              <x14:cfvo type="autoMax"/>
              <x14:negativeFillColor rgb="FFFF0000"/>
              <x14:axisColor rgb="FF000000"/>
            </x14:dataBar>
          </x14:cfRule>
          <x14:cfRule type="dataBar" id="{7E22D8E5-37EB-4DDC-B497-789E5BAA4BA2}">
            <x14:dataBar minLength="0" maxLength="100">
              <x14:cfvo type="autoMin"/>
              <x14:cfvo type="autoMax"/>
              <x14:negativeFillColor rgb="FFFF0000"/>
              <x14:axisColor rgb="FF000000"/>
            </x14:dataBar>
          </x14:cfRule>
          <x14:cfRule type="dataBar" id="{06B722C0-1A9F-4853-BE94-1474CB91A725}">
            <x14:dataBar minLength="0" maxLength="100">
              <x14:cfvo type="autoMin"/>
              <x14:cfvo type="autoMax"/>
              <x14:negativeFillColor rgb="FFFF0000"/>
              <x14:axisColor rgb="FF000000"/>
            </x14:dataBar>
          </x14:cfRule>
          <xm:sqref>AG7</xm:sqref>
        </x14:conditionalFormatting>
        <x14:conditionalFormatting xmlns:xm="http://schemas.microsoft.com/office/excel/2006/main">
          <x14:cfRule type="dataBar" id="{788F16EF-2664-42CD-A7A3-243BB01BB488}">
            <x14:dataBar minLength="0" maxLength="100" border="1" negativeBarBorderColorSameAsPositive="0">
              <x14:cfvo type="autoMin"/>
              <x14:cfvo type="autoMax"/>
              <x14:borderColor rgb="FF63C384"/>
              <x14:negativeFillColor rgb="FFFF0000"/>
              <x14:negativeBorderColor rgb="FFFF0000"/>
              <x14:axisColor rgb="FF000000"/>
            </x14:dataBar>
          </x14:cfRule>
          <xm:sqref>AL7:AP7</xm:sqref>
        </x14:conditionalFormatting>
        <x14:conditionalFormatting xmlns:xm="http://schemas.microsoft.com/office/excel/2006/main">
          <x14:cfRule type="dataBar" id="{9DCCE9A4-3F84-485C-95CC-E0F4039C4A59}">
            <x14:dataBar minLength="0" maxLength="100">
              <x14:cfvo type="autoMin"/>
              <x14:cfvo type="autoMax"/>
              <x14:negativeFillColor rgb="FFFF0000"/>
              <x14:axisColor rgb="FF000000"/>
            </x14:dataBar>
          </x14:cfRule>
          <x14:cfRule type="dataBar" id="{51664DA8-470E-4181-9516-5437635C9195}">
            <x14:dataBar minLength="0" maxLength="100">
              <x14:cfvo type="autoMin"/>
              <x14:cfvo type="autoMax"/>
              <x14:negativeFillColor rgb="FFFF0000"/>
              <x14:axisColor rgb="FF000000"/>
            </x14:dataBar>
          </x14:cfRule>
          <x14:cfRule type="dataBar" id="{5DE89C9F-875E-4AA1-AEE0-29C525649C98}">
            <x14:dataBar minLength="0" maxLength="100">
              <x14:cfvo type="autoMin"/>
              <x14:cfvo type="autoMax"/>
              <x14:negativeFillColor rgb="FFFF0000"/>
              <x14:axisColor rgb="FF000000"/>
            </x14:dataBar>
          </x14:cfRule>
          <xm:sqref>AL7:AP7</xm:sqref>
        </x14:conditionalFormatting>
        <x14:conditionalFormatting xmlns:xm="http://schemas.microsoft.com/office/excel/2006/main">
          <x14:cfRule type="dataBar" id="{630C3C96-9988-41A2-8338-E66A2F4443EB}">
            <x14:dataBar minLength="0" maxLength="100" border="1" negativeBarBorderColorSameAsPositive="0">
              <x14:cfvo type="autoMin"/>
              <x14:cfvo type="autoMax"/>
              <x14:borderColor rgb="FF63C384"/>
              <x14:negativeFillColor rgb="FFFF0000"/>
              <x14:negativeBorderColor rgb="FFFF0000"/>
              <x14:axisColor rgb="FF000000"/>
            </x14:dataBar>
          </x14:cfRule>
          <xm:sqref>AR7:AY7</xm:sqref>
        </x14:conditionalFormatting>
        <x14:conditionalFormatting xmlns:xm="http://schemas.microsoft.com/office/excel/2006/main">
          <x14:cfRule type="dataBar" id="{5D1FA0A1-7F6A-4778-9B72-002C14BEB130}">
            <x14:dataBar minLength="0" maxLength="100">
              <x14:cfvo type="autoMin"/>
              <x14:cfvo type="autoMax"/>
              <x14:negativeFillColor rgb="FFFF0000"/>
              <x14:axisColor rgb="FF000000"/>
            </x14:dataBar>
          </x14:cfRule>
          <x14:cfRule type="dataBar" id="{D8F1DE1F-D2E8-4446-98B0-50EC9F123EDD}">
            <x14:dataBar minLength="0" maxLength="100">
              <x14:cfvo type="autoMin"/>
              <x14:cfvo type="autoMax"/>
              <x14:negativeFillColor rgb="FFFF0000"/>
              <x14:axisColor rgb="FF000000"/>
            </x14:dataBar>
          </x14:cfRule>
          <x14:cfRule type="dataBar" id="{24504B93-7D7F-472A-B472-B6AD4E739D00}">
            <x14:dataBar minLength="0" maxLength="100">
              <x14:cfvo type="autoMin"/>
              <x14:cfvo type="autoMax"/>
              <x14:negativeFillColor rgb="FFFF0000"/>
              <x14:axisColor rgb="FF000000"/>
            </x14:dataBar>
          </x14:cfRule>
          <xm:sqref>AR7:AY7</xm:sqref>
        </x14:conditionalFormatting>
        <x14:conditionalFormatting xmlns:xm="http://schemas.microsoft.com/office/excel/2006/main">
          <x14:cfRule type="dataBar" id="{C2A36D8B-59FF-4796-A66E-74BDA1619CAA}">
            <x14:dataBar minLength="0" maxLength="100" border="1" negativeBarBorderColorSameAsPositive="0">
              <x14:cfvo type="autoMin"/>
              <x14:cfvo type="autoMax"/>
              <x14:borderColor rgb="FF63C384"/>
              <x14:negativeFillColor rgb="FFFF0000"/>
              <x14:negativeBorderColor rgb="FFFF0000"/>
              <x14:axisColor rgb="FF000000"/>
            </x14:dataBar>
          </x14:cfRule>
          <xm:sqref>BA7:BH7</xm:sqref>
        </x14:conditionalFormatting>
        <x14:conditionalFormatting xmlns:xm="http://schemas.microsoft.com/office/excel/2006/main">
          <x14:cfRule type="dataBar" id="{804F35A5-0BEF-47BC-B79D-FA526F6075AB}">
            <x14:dataBar minLength="0" maxLength="100">
              <x14:cfvo type="autoMin"/>
              <x14:cfvo type="autoMax"/>
              <x14:negativeFillColor rgb="FFFF0000"/>
              <x14:axisColor rgb="FF000000"/>
            </x14:dataBar>
          </x14:cfRule>
          <x14:cfRule type="dataBar" id="{5D79745B-2001-49DB-AB7C-A21B35CB86EB}">
            <x14:dataBar minLength="0" maxLength="100">
              <x14:cfvo type="autoMin"/>
              <x14:cfvo type="autoMax"/>
              <x14:negativeFillColor rgb="FFFF0000"/>
              <x14:axisColor rgb="FF000000"/>
            </x14:dataBar>
          </x14:cfRule>
          <x14:cfRule type="dataBar" id="{027671BF-8D41-4168-921B-31631B7381C8}">
            <x14:dataBar minLength="0" maxLength="100">
              <x14:cfvo type="autoMin"/>
              <x14:cfvo type="autoMax"/>
              <x14:negativeFillColor rgb="FFFF0000"/>
              <x14:axisColor rgb="FF000000"/>
            </x14:dataBar>
          </x14:cfRule>
          <xm:sqref>BA7:BH7</xm:sqref>
        </x14:conditionalFormatting>
        <x14:conditionalFormatting xmlns:xm="http://schemas.microsoft.com/office/excel/2006/main">
          <x14:cfRule type="dataBar" id="{7AC9520C-A426-4CFD-8736-971A98D84008}">
            <x14:dataBar minLength="0" maxLength="100" border="1" negativeBarBorderColorSameAsPositive="0">
              <x14:cfvo type="autoMin"/>
              <x14:cfvo type="autoMax"/>
              <x14:borderColor rgb="FF63C384"/>
              <x14:negativeFillColor rgb="FFFF0000"/>
              <x14:negativeBorderColor rgb="FFFF0000"/>
              <x14:axisColor rgb="FF000000"/>
            </x14:dataBar>
          </x14:cfRule>
          <xm:sqref>BJ7:BO7</xm:sqref>
        </x14:conditionalFormatting>
        <x14:conditionalFormatting xmlns:xm="http://schemas.microsoft.com/office/excel/2006/main">
          <x14:cfRule type="dataBar" id="{6528EC5F-5EC4-43D6-B5D1-A678157D27E1}">
            <x14:dataBar minLength="0" maxLength="100">
              <x14:cfvo type="autoMin"/>
              <x14:cfvo type="autoMax"/>
              <x14:negativeFillColor rgb="FFFF0000"/>
              <x14:axisColor rgb="FF000000"/>
            </x14:dataBar>
          </x14:cfRule>
          <x14:cfRule type="dataBar" id="{E6CF6607-519F-4DCB-9AAD-1E3E02E5E3BF}">
            <x14:dataBar minLength="0" maxLength="100">
              <x14:cfvo type="autoMin"/>
              <x14:cfvo type="autoMax"/>
              <x14:negativeFillColor rgb="FFFF0000"/>
              <x14:axisColor rgb="FF000000"/>
            </x14:dataBar>
          </x14:cfRule>
          <x14:cfRule type="dataBar" id="{1D902FE6-FAAE-409A-9B66-0A21728F96C0}">
            <x14:dataBar minLength="0" maxLength="100">
              <x14:cfvo type="autoMin"/>
              <x14:cfvo type="autoMax"/>
              <x14:negativeFillColor rgb="FFFF0000"/>
              <x14:axisColor rgb="FF000000"/>
            </x14:dataBar>
          </x14:cfRule>
          <xm:sqref>BJ7:BO7</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14:formula1>
            <xm:f>Configuration!$P$1:$P$4</xm:f>
          </x14:formula1>
          <xm:sqref>I5 AQ5</xm:sqref>
        </x14:dataValidation>
        <x14:dataValidation type="list" allowBlank="1" showInputMessage="1">
          <x14:formula1>
            <xm:f>Supervisor!$A:$A</xm:f>
          </x14:formula1>
          <xm:sqref>E5 AM5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128"/>
  <sheetViews>
    <sheetView showGridLines="0" workbookViewId="0">
      <pane xSplit="6" topLeftCell="G1" activePane="topRight" state="frozen"/>
      <selection pane="topRight" activeCell="H7" sqref="H7"/>
    </sheetView>
  </sheetViews>
  <sheetFormatPr defaultRowHeight="12.75" x14ac:dyDescent="0.2"/>
  <cols>
    <col min="1" max="1" width="1" style="249" customWidth="1"/>
    <col min="2" max="2" width="16.5703125" style="247" bestFit="1" customWidth="1"/>
    <col min="3" max="3" width="0.85546875" style="10" customWidth="1"/>
    <col min="4" max="4" width="1.28515625" style="16" customWidth="1"/>
    <col min="5" max="5" width="34.28515625" style="10" bestFit="1" customWidth="1"/>
    <col min="6" max="6" width="50.5703125" style="17" bestFit="1" customWidth="1"/>
    <col min="7" max="9" width="14.85546875" style="148" customWidth="1"/>
    <col min="10" max="12" width="14.85546875" style="149" customWidth="1"/>
    <col min="13" max="15" width="14.85546875" style="148" customWidth="1"/>
    <col min="16" max="19" width="21.7109375" style="10" customWidth="1"/>
    <col min="20" max="20" width="4.85546875" style="1" bestFit="1" customWidth="1"/>
    <col min="21" max="21" width="16.42578125" style="1" bestFit="1" customWidth="1"/>
    <col min="22" max="16384" width="9.140625" style="1"/>
  </cols>
  <sheetData>
    <row r="1" spans="2:20" s="127" customFormat="1" ht="42" customHeight="1" x14ac:dyDescent="0.2">
      <c r="B1" s="250"/>
      <c r="D1" s="126"/>
      <c r="F1" s="126"/>
      <c r="G1" s="147"/>
      <c r="H1" s="147"/>
      <c r="I1" s="147"/>
      <c r="J1" s="147"/>
      <c r="K1" s="147"/>
      <c r="L1" s="147"/>
      <c r="M1" s="147"/>
      <c r="N1" s="147"/>
      <c r="O1" s="147"/>
    </row>
    <row r="2" spans="2:20" x14ac:dyDescent="0.2">
      <c r="B2" s="248" t="s">
        <v>119</v>
      </c>
    </row>
    <row r="3" spans="2:20" hidden="1" x14ac:dyDescent="0.2">
      <c r="B3" s="248"/>
    </row>
    <row r="4" spans="2:20" hidden="1" x14ac:dyDescent="0.2">
      <c r="B4" s="248"/>
    </row>
    <row r="5" spans="2:20" hidden="1" x14ac:dyDescent="0.2">
      <c r="B5" s="248"/>
      <c r="D5" s="15"/>
      <c r="E5" s="31"/>
      <c r="F5" s="152"/>
      <c r="G5" s="152"/>
      <c r="H5" s="151"/>
      <c r="J5" s="150"/>
      <c r="K5" s="151"/>
      <c r="L5" s="148"/>
      <c r="M5" s="150"/>
      <c r="N5" s="151"/>
      <c r="O5" s="151"/>
    </row>
    <row r="6" spans="2:20" x14ac:dyDescent="0.2">
      <c r="B6" s="248"/>
      <c r="D6" s="15"/>
      <c r="E6" s="31"/>
      <c r="F6" s="14"/>
      <c r="G6" s="152"/>
      <c r="H6" s="152"/>
      <c r="I6" s="153"/>
      <c r="J6" s="153"/>
      <c r="K6" s="153"/>
      <c r="L6" s="154"/>
    </row>
    <row r="7" spans="2:20" x14ac:dyDescent="0.2">
      <c r="B7" s="248" t="s">
        <v>434</v>
      </c>
      <c r="D7" s="15"/>
      <c r="G7" s="12" t="s">
        <v>120</v>
      </c>
      <c r="H7" s="100"/>
      <c r="I7" s="30"/>
      <c r="J7" s="30" t="s">
        <v>288</v>
      </c>
      <c r="K7" s="287"/>
      <c r="L7" s="153"/>
      <c r="M7" s="30" t="s">
        <v>73</v>
      </c>
      <c r="N7" s="82"/>
      <c r="O7" s="153"/>
    </row>
    <row r="8" spans="2:20" x14ac:dyDescent="0.2">
      <c r="E8" s="34"/>
      <c r="F8" s="14"/>
      <c r="G8" s="196"/>
      <c r="H8" s="152"/>
      <c r="I8" s="245"/>
      <c r="J8" s="153"/>
      <c r="K8" s="155"/>
      <c r="L8" s="153"/>
      <c r="M8" s="155"/>
      <c r="N8" s="153"/>
      <c r="O8" s="153"/>
      <c r="P8" s="26"/>
      <c r="Q8" s="12"/>
    </row>
    <row r="9" spans="2:20" hidden="1" x14ac:dyDescent="0.2">
      <c r="D9" s="15"/>
      <c r="E9" s="36"/>
      <c r="J9" s="153"/>
      <c r="K9" s="153"/>
      <c r="L9" s="153"/>
      <c r="M9" s="153"/>
    </row>
    <row r="10" spans="2:20" ht="15" hidden="1" x14ac:dyDescent="0.2">
      <c r="D10" s="15"/>
      <c r="E10" s="34"/>
      <c r="F10" s="14"/>
      <c r="G10" s="232"/>
      <c r="H10" s="232"/>
      <c r="I10" s="233"/>
      <c r="J10" s="234"/>
      <c r="K10" s="234"/>
      <c r="L10" s="350"/>
      <c r="M10" s="235"/>
      <c r="N10" s="235"/>
      <c r="O10" s="235"/>
      <c r="P10" s="236"/>
      <c r="Q10" s="236"/>
      <c r="R10" s="236"/>
      <c r="S10" s="27"/>
    </row>
    <row r="11" spans="2:20" x14ac:dyDescent="0.2">
      <c r="B11" s="247" t="s">
        <v>435</v>
      </c>
      <c r="C11" s="12"/>
      <c r="D11" s="23"/>
      <c r="E11" s="119"/>
      <c r="G11" s="237">
        <f>COUNTIF('All Contacts'!AB:AB,"Cycle 1")</f>
        <v>0</v>
      </c>
      <c r="H11" s="237"/>
      <c r="I11" s="237"/>
      <c r="J11" s="238">
        <f>COUNTIF('All Contacts'!AB:AB,"Cycle 2")</f>
        <v>0</v>
      </c>
      <c r="K11" s="234"/>
      <c r="L11" s="350"/>
      <c r="M11" s="238">
        <f>COUNTIF('All Contacts'!AB:AB,"Cycle 3")</f>
        <v>0</v>
      </c>
      <c r="N11" s="239"/>
      <c r="O11" s="239"/>
      <c r="P11" s="240">
        <f>COUNTA('All Contacts'!A:A)-1</f>
        <v>0</v>
      </c>
      <c r="Q11" s="241"/>
      <c r="R11" s="241"/>
      <c r="S11" s="28"/>
      <c r="T11" s="9"/>
    </row>
    <row r="12" spans="2:20" ht="13.5" thickBot="1" x14ac:dyDescent="0.25">
      <c r="C12" s="12"/>
      <c r="D12" s="21"/>
      <c r="E12" s="12"/>
      <c r="F12" s="22"/>
      <c r="G12" s="34" t="str">
        <f>"Total "&amp;G11&amp;" Contacts in Cycle 1"</f>
        <v>Total 0 Contacts in Cycle 1</v>
      </c>
      <c r="H12" s="156"/>
      <c r="I12" s="156"/>
      <c r="J12" s="34" t="str">
        <f>"Total "&amp;J11&amp;" Contacts in Cycle 2"</f>
        <v>Total 0 Contacts in Cycle 2</v>
      </c>
      <c r="K12" s="154"/>
      <c r="L12" s="155"/>
      <c r="M12" s="33" t="str">
        <f>"Total "&amp;M11&amp;" Contacts in Cycle 3"</f>
        <v>Total 0 Contacts in Cycle 3</v>
      </c>
      <c r="P12" s="31" t="str">
        <f>"Total "&amp;COUNTA('All Contacts'!A:A)-1&amp;" Contacts"</f>
        <v>Total 0 Contacts</v>
      </c>
    </row>
    <row r="13" spans="2:20" x14ac:dyDescent="0.2">
      <c r="B13" s="248" t="s">
        <v>441</v>
      </c>
      <c r="C13" s="12"/>
      <c r="D13" s="21"/>
      <c r="E13" s="351" t="s">
        <v>419</v>
      </c>
      <c r="F13" s="352"/>
      <c r="G13" s="345" t="s">
        <v>415</v>
      </c>
      <c r="H13" s="346"/>
      <c r="I13" s="346"/>
      <c r="J13" s="345" t="s">
        <v>417</v>
      </c>
      <c r="K13" s="346"/>
      <c r="L13" s="346"/>
      <c r="M13" s="345" t="s">
        <v>418</v>
      </c>
      <c r="N13" s="346"/>
      <c r="O13" s="346"/>
      <c r="P13" s="345" t="s">
        <v>433</v>
      </c>
      <c r="Q13" s="346"/>
      <c r="R13" s="346"/>
    </row>
    <row r="14" spans="2:20" ht="26.25" thickBot="1" x14ac:dyDescent="0.25">
      <c r="C14" s="12"/>
      <c r="D14" s="21"/>
      <c r="E14" s="353"/>
      <c r="F14" s="354"/>
      <c r="G14" s="200" t="s">
        <v>129</v>
      </c>
      <c r="H14" s="200" t="s">
        <v>335</v>
      </c>
      <c r="I14" s="200" t="s">
        <v>416</v>
      </c>
      <c r="J14" s="164" t="s">
        <v>129</v>
      </c>
      <c r="K14" s="164" t="s">
        <v>335</v>
      </c>
      <c r="L14" s="164" t="s">
        <v>416</v>
      </c>
      <c r="M14" s="164" t="s">
        <v>129</v>
      </c>
      <c r="N14" s="164" t="s">
        <v>335</v>
      </c>
      <c r="O14" s="164" t="s">
        <v>416</v>
      </c>
      <c r="P14" s="164" t="s">
        <v>129</v>
      </c>
      <c r="Q14" s="164" t="s">
        <v>335</v>
      </c>
      <c r="R14" s="165" t="s">
        <v>416</v>
      </c>
    </row>
    <row r="15" spans="2:20" x14ac:dyDescent="0.2">
      <c r="B15" s="248" t="s">
        <v>436</v>
      </c>
      <c r="C15" s="12"/>
      <c r="D15" s="21"/>
      <c r="E15" s="347" t="s">
        <v>397</v>
      </c>
      <c r="F15" s="197" t="s">
        <v>326</v>
      </c>
      <c r="G15" s="209">
        <f>IFERROR((G11-(COUNTIFS('All Contacts'!$C:$C, "Y", 'All Contacts'!$AB:$AB, "Cycle 1")+COUNTIFS('All Contacts'!$D:$D, "Y", 'All Contacts'!$AB:$AB, "Cycle 1"))-(COUNTIFS('All Contacts'!$C:$C, "N/A", 'All Contacts'!$AB:$AB, "Cycle 1")+COUNTIFS('All Contacts'!$D:$D, "N/A", 'All Contacts'!$AB:$AB, "Cycle 1")))/G11,0)</f>
        <v>0</v>
      </c>
      <c r="H15" s="210">
        <f>IFERROR((COUNTIFS('All Contacts'!$C:$C, "Y", 'All Contacts'!$AB:$AB, "Cycle 1")+COUNTIFS('All Contacts'!$D:$D, "Y", 'All Contacts'!$AB:$AB, "Cycle 1"))/G11,0)</f>
        <v>0</v>
      </c>
      <c r="I15" s="211">
        <f>IFERROR((COUNTIFS('All Contacts'!$C:$C, "N/A", 'All Contacts'!$AB:$AB, "Cycle 1")+COUNTIFS('All Contacts'!$D:$D, "N/A", 'All Contacts'!$AB:$AB, "Cycle 1"))/G11,0)</f>
        <v>0</v>
      </c>
      <c r="J15" s="209">
        <f>IFERROR((J11-COUNTIFS('All Contacts'!$C:$C, "Y", 'All Contacts'!$AB:$AB, "Cycle 2")-COUNTIFS('All Contacts'!$D:$D, "Y", 'All Contacts'!$AB:$AB, "Cycle 2")-COUNTIFS('All Contacts'!$C:$C, "N/A", 'All Contacts'!$AB:$AB, "Cycle 2")-COUNTIFS('All Contacts'!$D:$D, "N/A", 'All Contacts'!$AB:$AB, "Cycle 2"))/J11,0)</f>
        <v>0</v>
      </c>
      <c r="K15" s="210">
        <f>IFERROR((COUNTIFS('All Contacts'!$C:$C, "Y", 'All Contacts'!$AB:$AB, "Cycle 2")+COUNTIFS('All Contacts'!$D:$D, "Y", 'All Contacts'!$AB:$AB, "Cycle 2"))/J11,0)</f>
        <v>0</v>
      </c>
      <c r="L15" s="211">
        <f>IFERROR((COUNTIFS('All Contacts'!$C:$C, "N/A", 'All Contacts'!$AB:$AB, "Cycle 2")+COUNTIFS('All Contacts'!$D:$D, "N/A", 'All Contacts'!$AB:$AB, "Cycle 2"))/J11,0)</f>
        <v>0</v>
      </c>
      <c r="M15" s="209">
        <f>IFERROR((M11-COUNTIFS('All Contacts'!$C:$C, "Y", 'All Contacts'!$AB:$AB, "Cycle 3")-COUNTIFS('All Contacts'!$D:$D, "Y", 'All Contacts'!$AB:$AB, "Cycle 3")-COUNTIFS('All Contacts'!$C:$C, "N/A", 'All Contacts'!$AB:$AB, "Cycle 3")-COUNTIFS('All Contacts'!$D:$D, "N/A", 'All Contacts'!$AB:$AB, "Cycle 3"))/M11,0)</f>
        <v>0</v>
      </c>
      <c r="N15" s="210">
        <f>IFERROR((COUNTIFS('All Contacts'!$C:$C, "Y", 'All Contacts'!$AB:$AB, "Cycle 3")+COUNTIFS('All Contacts'!$D:$D, "Y", 'All Contacts'!$AB:$AB, "Cycle 3"))/M11,0)</f>
        <v>0</v>
      </c>
      <c r="O15" s="211">
        <f>IFERROR((COUNTIFS('All Contacts'!$C:$C, "N/A", 'All Contacts'!$AB:$AB, "Cycle 3")+COUNTIFS('All Contacts'!$D:$D, "N/A", 'All Contacts'!$AB:$AB, "Cycle 3"))/M11,0)</f>
        <v>0</v>
      </c>
      <c r="P15" s="209">
        <f>IFERROR(1-Q15-R15,0)</f>
        <v>1</v>
      </c>
      <c r="Q15" s="210">
        <f>IFERROR((COUNTIFS('All Contacts'!$C:$C, "Y")+COUNTIFS('All Contacts'!$D:$D, "Y"))/P11,0)</f>
        <v>0</v>
      </c>
      <c r="R15" s="211">
        <f>IFERROR((COUNTIFS('All Contacts'!$C:$C, "N/A")+COUNTIFS('All Contacts'!$D:$D, "N/A"))/P11,0)</f>
        <v>0</v>
      </c>
    </row>
    <row r="16" spans="2:20" x14ac:dyDescent="0.2">
      <c r="B16" s="246"/>
      <c r="C16" s="12"/>
      <c r="D16" s="23"/>
      <c r="E16" s="348"/>
      <c r="F16" s="198" t="s">
        <v>624</v>
      </c>
      <c r="G16" s="212">
        <f>IFERROR(COUNTIFS('All Contacts'!$H:$H, "", 'All Contacts'!$AB:$AB, "Cycle 1")/G11,0)</f>
        <v>0</v>
      </c>
      <c r="H16" s="213">
        <f>IFERROR(COUNTIFS('All Contacts'!$H:$H, "Y", 'All Contacts'!$AB:$AB, "Cycle 1")/G11,0)</f>
        <v>0</v>
      </c>
      <c r="I16" s="214">
        <f>IFERROR(COUNTIFS('All Contacts'!$H:$H, "N/A", 'All Contacts'!$AB:$AB, "Cycle 1")/G11,0)</f>
        <v>0</v>
      </c>
      <c r="J16" s="212">
        <f>IFERROR(COUNTIFS('All Contacts'!$H:$H, "", 'All Contacts'!$AB:$AB, "Cycle 2")/J11,0)</f>
        <v>0</v>
      </c>
      <c r="K16" s="213">
        <f>IFERROR(COUNTIFS('All Contacts'!$H:$H, "Y", 'All Contacts'!$AB:$AB, "Cycle 2")/J11,0)</f>
        <v>0</v>
      </c>
      <c r="L16" s="215">
        <f>IFERROR(COUNTIFS('All Contacts'!$H:$H, "N/A", 'All Contacts'!$AB:$AB, "Cycle 2")/J11,0)</f>
        <v>0</v>
      </c>
      <c r="M16" s="212">
        <f>IFERROR(COUNTIFS('All Contacts'!$H:$H, "", 'All Contacts'!$AB:$AB, "Cycle 3")/M11,0)</f>
        <v>0</v>
      </c>
      <c r="N16" s="213">
        <f>IFERROR(COUNTIFS('All Contacts'!$H:$H, "Y", 'All Contacts'!$AB:$AB, "Cycle 3")/M11,0)</f>
        <v>0</v>
      </c>
      <c r="O16" s="215">
        <f>IFERROR(COUNTIFS('All Contacts'!$H:$H, "N/A", 'All Contacts'!$AB:$AB, "Cycle 3")/M11,0)</f>
        <v>0</v>
      </c>
      <c r="P16" s="212">
        <f>IFERROR(1-Q16-R16,0)</f>
        <v>1</v>
      </c>
      <c r="Q16" s="213">
        <f>IFERROR(COUNTIFS('All Contacts'!$H:$H, "Y")/P11,0)</f>
        <v>0</v>
      </c>
      <c r="R16" s="214">
        <f>IFERROR(COUNTIFS('All Contacts'!$H:$H, "N/A")/P11,0)</f>
        <v>0</v>
      </c>
    </row>
    <row r="17" spans="2:18" ht="13.5" thickBot="1" x14ac:dyDescent="0.25">
      <c r="B17" s="248" t="s">
        <v>378</v>
      </c>
      <c r="C17" s="12"/>
      <c r="D17" s="23"/>
      <c r="E17" s="349"/>
      <c r="F17" s="199" t="s">
        <v>291</v>
      </c>
      <c r="G17" s="216">
        <f>IFERROR(COUNTIFS('All Contacts'!$B:$B, "", 'All Contacts'!$AB:$AB, "Cycle 1")/G11,0)</f>
        <v>0</v>
      </c>
      <c r="H17" s="217">
        <f>IFERROR(COUNTIFS('All Contacts'!$B:$B, "Y", 'All Contacts'!$AB:$AB, "Cycle 1")/G11,0)</f>
        <v>0</v>
      </c>
      <c r="I17" s="218">
        <f>IFERROR(COUNTIFS('All Contacts'!$B:$B, "N/A", 'All Contacts'!$AB:$AB, "Cycle 1")/G11,0)</f>
        <v>0</v>
      </c>
      <c r="J17" s="216">
        <f>IFERROR(COUNTIFS('All Contacts'!$B:$B, "", 'All Contacts'!$AB:$AB, "Cycle 2")/J11,0)</f>
        <v>0</v>
      </c>
      <c r="K17" s="217">
        <f>IFERROR(COUNTIFS('All Contacts'!$B:$B, "Y", 'All Contacts'!$AB:$AB, "Cycle 2")/J11,0)</f>
        <v>0</v>
      </c>
      <c r="L17" s="219">
        <f>IFERROR(COUNTIFS('All Contacts'!$B:$B, "N/A", 'All Contacts'!$AB:$AB, "Cycle 2")/J11,0)</f>
        <v>0</v>
      </c>
      <c r="M17" s="216">
        <f>IFERROR(COUNTIFS('All Contacts'!$B:$B, "", 'All Contacts'!$AB:$AB, "Cycle 3")/M11,0)</f>
        <v>0</v>
      </c>
      <c r="N17" s="217">
        <f>IFERROR(COUNTIFS('All Contacts'!$B:$B, "Y", 'All Contacts'!$AB:$AB, "Cycle 3")/M11,0)</f>
        <v>0</v>
      </c>
      <c r="O17" s="219">
        <f>IFERROR(COUNTIFS('All Contacts'!$B:$B, "N/A", 'All Contacts'!$AB:$AB, "Cycle 3")/M11,0)</f>
        <v>0</v>
      </c>
      <c r="P17" s="216">
        <f>IFERROR(1-Q17-R17,0)</f>
        <v>1</v>
      </c>
      <c r="Q17" s="217">
        <f>IFERROR(COUNTIFS('All Contacts'!$B:$B, "Y")/P11,0)</f>
        <v>0</v>
      </c>
      <c r="R17" s="218">
        <f>IFERROR(COUNTIFS('All Contacts'!$B:$B, "N/A")/P11,0)</f>
        <v>0</v>
      </c>
    </row>
    <row r="18" spans="2:18" ht="13.5" thickBot="1" x14ac:dyDescent="0.25">
      <c r="B18" s="246"/>
      <c r="C18" s="12"/>
      <c r="D18" s="23"/>
      <c r="E18" s="12"/>
      <c r="G18" s="30"/>
      <c r="H18" s="30"/>
      <c r="I18" s="156"/>
      <c r="J18" s="30"/>
      <c r="L18" s="155"/>
      <c r="P18" s="30"/>
      <c r="Q18" s="30"/>
      <c r="R18" s="156"/>
    </row>
    <row r="19" spans="2:18" x14ac:dyDescent="0.2">
      <c r="B19" s="248" t="s">
        <v>437</v>
      </c>
      <c r="E19" s="342" t="s">
        <v>399</v>
      </c>
      <c r="F19" s="201" t="s">
        <v>312</v>
      </c>
      <c r="G19" s="203">
        <f>IFERROR(COUNTIFS('All Contacts'!$J:$J, "Y", 'All Contacts'!$AB:$AB, "Cycle 1")/G11,0)</f>
        <v>0</v>
      </c>
      <c r="H19" s="204">
        <f>IFERROR(COUNTIFS('All Contacts'!$J:$J, "", 'All Contacts'!$AB:$AB, "Cycle 1")/G11,0)</f>
        <v>0</v>
      </c>
      <c r="I19" s="205">
        <f>IFERROR(COUNTIFS('All Contacts'!$J:$J, "N/A", 'All Contacts'!$AB:$AB, "Cycle 1")/G11,0)</f>
        <v>0</v>
      </c>
      <c r="J19" s="203">
        <f>IFERROR(COUNTIFS('All Contacts'!$J:$J, "Y", 'All Contacts'!$AB:$AB, "Cycle 2")/J11,0)</f>
        <v>0</v>
      </c>
      <c r="K19" s="204">
        <f>IFERROR(COUNTIFS('All Contacts'!$J:$J, "", 'All Contacts'!$AB:$AB, "Cycle 2")/J11,0)</f>
        <v>0</v>
      </c>
      <c r="L19" s="205">
        <f>IFERROR(COUNTIFS('All Contacts'!$J:$J, "N/A", 'All Contacts'!$AB:$AB, "Cycle 2")/J11,0)</f>
        <v>0</v>
      </c>
      <c r="M19" s="203">
        <f>IFERROR(COUNTIFS('All Contacts'!$J:$J, "Y", 'All Contacts'!$AB:$AB, "Cycle 3")/M11,0)</f>
        <v>0</v>
      </c>
      <c r="N19" s="204">
        <f>IFERROR(COUNTIFS('All Contacts'!$J:$J, "", 'All Contacts'!$AB:$AB, "Cycle 3")/M11,0)</f>
        <v>0</v>
      </c>
      <c r="O19" s="227">
        <f>IFERROR(COUNTIFS('All Contacts'!$J:$J, "N/A", 'All Contacts'!$AB:$AB, "Cycle 3")/M11,0)</f>
        <v>0</v>
      </c>
      <c r="P19" s="203">
        <f>IFERROR(COUNTIFS('All Contacts'!$J:$J, "Y")/P11,0)</f>
        <v>0</v>
      </c>
      <c r="Q19" s="204">
        <f>IFERROR(1-P19-R19,0)</f>
        <v>1</v>
      </c>
      <c r="R19" s="205">
        <f>IFERROR(COUNTIFS('All Contacts'!$J:$J, "N/A")/P11,0)</f>
        <v>0</v>
      </c>
    </row>
    <row r="20" spans="2:18" ht="13.5" thickBot="1" x14ac:dyDescent="0.25">
      <c r="E20" s="344"/>
      <c r="F20" s="202" t="s">
        <v>314</v>
      </c>
      <c r="G20" s="206">
        <f>IFERROR(COUNTIFS('All Contacts'!$K:$K, "Y", 'All Contacts'!$AB:$AB, "Cycle 1")/G11,0)</f>
        <v>0</v>
      </c>
      <c r="H20" s="207">
        <f>IFERROR(COUNTIFS('All Contacts'!$K:$K, "", 'All Contacts'!$AB:$AB, "Cycle 1")/G11,0)</f>
        <v>0</v>
      </c>
      <c r="I20" s="208">
        <f>IFERROR(COUNTIFS('All Contacts'!$K:$K, "N/A", 'All Contacts'!$AB:$AB, "Cycle 1")/G11,0)</f>
        <v>0</v>
      </c>
      <c r="J20" s="206">
        <f>IFERROR(COUNTIFS('All Contacts'!$K:$K, "Y", 'All Contacts'!$AB:$AB, "Cycle 2")/J11,0)</f>
        <v>0</v>
      </c>
      <c r="K20" s="207">
        <f>IFERROR(COUNTIFS('All Contacts'!$K:$K, "", 'All Contacts'!$AB:$AB, "Cycle 2")/J11,0)</f>
        <v>0</v>
      </c>
      <c r="L20" s="208">
        <f>IFERROR(COUNTIFS('All Contacts'!$K:$K, "N/A", 'All Contacts'!$AB:$AB, "Cycle 2")/J11,0)</f>
        <v>0</v>
      </c>
      <c r="M20" s="206">
        <f>IFERROR(COUNTIFS('All Contacts'!$K:$K, "Y", 'All Contacts'!$AB:$AB, "Cycle 3")/M11,0)</f>
        <v>0</v>
      </c>
      <c r="N20" s="207">
        <f>IFERROR(COUNTIFS('All Contacts'!$K:$K, "", 'All Contacts'!$AB:$AB, "Cycle 3")/M11,0)</f>
        <v>0</v>
      </c>
      <c r="O20" s="228">
        <f>IFERROR(COUNTIFS('All Contacts'!$K:$K, "N/A", 'All Contacts'!$AB:$AB, "Cycle 3")/M11,0)</f>
        <v>0</v>
      </c>
      <c r="P20" s="206">
        <f>IFERROR(COUNTIFS('All Contacts'!$K:$K, "Y")/P11,0)</f>
        <v>0</v>
      </c>
      <c r="Q20" s="207">
        <f>IFERROR(1-P20-R20,0)</f>
        <v>1</v>
      </c>
      <c r="R20" s="208">
        <f>IFERROR(COUNTIFS('All Contacts'!$K:$K, "N/A")/P11,0)</f>
        <v>0</v>
      </c>
    </row>
    <row r="21" spans="2:18" ht="13.5" thickBot="1" x14ac:dyDescent="0.25">
      <c r="B21" s="248" t="s">
        <v>617</v>
      </c>
      <c r="E21" s="12"/>
      <c r="I21" s="153"/>
      <c r="L21" s="156"/>
      <c r="P21" s="148"/>
      <c r="Q21" s="148"/>
      <c r="R21" s="153"/>
    </row>
    <row r="22" spans="2:18" x14ac:dyDescent="0.2">
      <c r="E22" s="342" t="s">
        <v>400</v>
      </c>
      <c r="F22" s="201" t="s">
        <v>401</v>
      </c>
      <c r="G22" s="203">
        <f>IFERROR(COUNTIFS('All Contacts'!$L:$L, "Y", 'All Contacts'!$AB:$AB, "Cycle 1")/G11,0)</f>
        <v>0</v>
      </c>
      <c r="H22" s="204">
        <f>IFERROR(COUNTIFS('All Contacts'!$L:$L, "", 'All Contacts'!$AB:$AB, "Cycle 1")/G11,0)</f>
        <v>0</v>
      </c>
      <c r="I22" s="220">
        <f>IFERROR(COUNTIFS('All Contacts'!$L:$L, "N/A", 'All Contacts'!$AB:$AB, "Cycle 1")/G11,0)</f>
        <v>0</v>
      </c>
      <c r="J22" s="203">
        <f>IFERROR(COUNTIFS('All Contacts'!$L:$L, "Y", 'All Contacts'!$AB:$AB, "Cycle 2")/J11,0)</f>
        <v>0</v>
      </c>
      <c r="K22" s="204">
        <f>IFERROR(COUNTIFS('All Contacts'!$L:$L, "", 'All Contacts'!$AB:$AB, "Cycle 2")/J11,0)</f>
        <v>0</v>
      </c>
      <c r="L22" s="220">
        <f>IFERROR(COUNTIFS('All Contacts'!$L:$L, "N/A", 'All Contacts'!$AB:$AB, "Cycle 2")/J11,0)</f>
        <v>0</v>
      </c>
      <c r="M22" s="203">
        <f>IFERROR(COUNTIFS('All Contacts'!$L:$L, "Y", 'All Contacts'!$AB:$AB, "Cycle 3")/M11,0)</f>
        <v>0</v>
      </c>
      <c r="N22" s="204">
        <f>IFERROR(COUNTIFS('All Contacts'!$L:$L, "", 'All Contacts'!$AB:$AB, "Cycle 3")/M11,0)</f>
        <v>0</v>
      </c>
      <c r="O22" s="220">
        <f>IFERROR(COUNTIFS('All Contacts'!$L:$L, "N/A", 'All Contacts'!$AB:$AB, "Cycle 3")/M11,0)</f>
        <v>0</v>
      </c>
      <c r="P22" s="203">
        <f>IFERROR(COUNTIFS('All Contacts'!$L:$L, "Y")/P11,0)</f>
        <v>0</v>
      </c>
      <c r="Q22" s="204">
        <f>IFERROR(1-P22-R22,0)</f>
        <v>1</v>
      </c>
      <c r="R22" s="220">
        <f>IFERROR(COUNTIFS('All Contacts'!$L:$L, "N/A")/P11,0)</f>
        <v>0</v>
      </c>
    </row>
    <row r="23" spans="2:18" ht="13.5" thickBot="1" x14ac:dyDescent="0.25">
      <c r="E23" s="344"/>
      <c r="F23" s="202" t="s">
        <v>294</v>
      </c>
      <c r="G23" s="206">
        <f>IFERROR(COUNTIFS('All Contacts'!$G:$G, "", 'All Contacts'!$AB:$AB, "Cycle 1")/G11,0)</f>
        <v>0</v>
      </c>
      <c r="H23" s="207">
        <f>IFERROR(COUNTIFS('All Contacts'!$G:$G, "Y", 'All Contacts'!$AB:$AB, "Cycle 1")/G11,0)</f>
        <v>0</v>
      </c>
      <c r="I23" s="221">
        <f>IFERROR(COUNTIFS('All Contacts'!$G:$G, "N/A", 'All Contacts'!$AB:$AB, "Cycle 1")/G11,0)</f>
        <v>0</v>
      </c>
      <c r="J23" s="206">
        <f>IFERROR(COUNTIFS('All Contacts'!$G:$G, "", 'All Contacts'!$AB:$AB, "Cycle 2")/J11,0)</f>
        <v>0</v>
      </c>
      <c r="K23" s="207">
        <f>IFERROR(COUNTIFS('All Contacts'!$G:$G, "Y", 'All Contacts'!$AB:$AB, "Cycle 2")/J11,0)</f>
        <v>0</v>
      </c>
      <c r="L23" s="221">
        <f>IFERROR(COUNTIFS('All Contacts'!$G:$G, "N/A", 'All Contacts'!$AB:$AB, "Cycle 2")/J11,0)</f>
        <v>0</v>
      </c>
      <c r="M23" s="206">
        <f>IFERROR(COUNTIFS('All Contacts'!$G:$G, "", 'All Contacts'!$AB:$AB, "Cycle 3")/M11,0)</f>
        <v>0</v>
      </c>
      <c r="N23" s="207">
        <f>IFERROR(COUNTIFS('All Contacts'!$G:$G, "Y", 'All Contacts'!$AB:$AB, "Cycle 3")/M11,0)</f>
        <v>0</v>
      </c>
      <c r="O23" s="221">
        <f>IFERROR(COUNTIFS('All Contacts'!$G:$G, "N/A", 'All Contacts'!$AB:$AB, "Cycle 3")/M11,0)</f>
        <v>0</v>
      </c>
      <c r="P23" s="206">
        <f>IFERROR(1-Q23-R23,0)</f>
        <v>1</v>
      </c>
      <c r="Q23" s="207">
        <f>IFERROR(COUNTIFS('All Contacts'!$G:$G, "Y")/P11,0)</f>
        <v>0</v>
      </c>
      <c r="R23" s="221">
        <f>IFERROR(COUNTIFS('All Contacts'!$G:$G, "N/A")/P11,0)</f>
        <v>0</v>
      </c>
    </row>
    <row r="24" spans="2:18" ht="13.5" thickBot="1" x14ac:dyDescent="0.25">
      <c r="E24" s="12"/>
      <c r="I24" s="153"/>
      <c r="L24" s="153"/>
      <c r="P24" s="148"/>
      <c r="Q24" s="148"/>
      <c r="R24" s="153"/>
    </row>
    <row r="25" spans="2:18" x14ac:dyDescent="0.2">
      <c r="E25" s="342" t="s">
        <v>402</v>
      </c>
      <c r="F25" s="201" t="s">
        <v>306</v>
      </c>
      <c r="G25" s="203">
        <f>IFERROR((G11-(COUNTIFS('All Contacts'!$E:$E, "Y", 'All Contacts'!$AB:$AB, "Cycle 1")+COUNTIFS('All Contacts'!$F:$F, "Y", 'All Contacts'!$AB:$AB, "Cycle 1"))-(COUNTIFS('All Contacts'!$E:$E, "N/A", 'All Contacts'!$AB:$AB, "Cycle 1")+COUNTIFS('All Contacts'!$F:$F, "N/A", 'All Contacts'!$AB:$AB, "Cycle 1")))/G11,0)</f>
        <v>0</v>
      </c>
      <c r="H25" s="204">
        <f>IFERROR((COUNTIFS('All Contacts'!$E:$E, "Y", 'All Contacts'!$AB:$AB, "Cycle 1")+COUNTIFS('All Contacts'!$F:$F, "Y", 'All Contacts'!$AB:$AB, "Cycle 1"))/G11,0)</f>
        <v>0</v>
      </c>
      <c r="I25" s="220">
        <f>IFERROR((COUNTIFS('All Contacts'!$E:$E, "N/A", 'All Contacts'!$AB:$AB, "Cycle 1")+COUNTIFS('All Contacts'!$F:$F, "N/A", 'All Contacts'!$AB:$AB, "Cycle 1"))/G11,0)</f>
        <v>0</v>
      </c>
      <c r="J25" s="203">
        <f>IFERROR((J11-(COUNTIFS('All Contacts'!$E:$E, "Y", 'All Contacts'!$AB:$AB, "Cycle 2")+COUNTIFS('All Contacts'!$F:$F, "Y", 'All Contacts'!$AB:$AB, "Cycle 2"))-(COUNTIFS('All Contacts'!$E:$E, "N/A", 'All Contacts'!$AB:$AB, "Cycle 2")+COUNTIFS('All Contacts'!$F:$F, "N/A", 'All Contacts'!$AB:$AB, "Cycle 2")))/J11,0)</f>
        <v>0</v>
      </c>
      <c r="K25" s="204">
        <f>IFERROR((COUNTIFS('All Contacts'!$E:$E, "Y", 'All Contacts'!$AB:$AB, "Cycle 2")+COUNTIFS('All Contacts'!$F:$F, "Y", 'All Contacts'!$AB:$AB, "Cycle 2"))/J11,0)</f>
        <v>0</v>
      </c>
      <c r="L25" s="220">
        <f>IFERROR((COUNTIFS('All Contacts'!$E:$E, "N/A", 'All Contacts'!$AB:$AB, "Cycle 2")+COUNTIFS('All Contacts'!$F:$F, "N/A", 'All Contacts'!$AB:$AB, "Cycle 2"))/J11,0)</f>
        <v>0</v>
      </c>
      <c r="M25" s="203">
        <f>IFERROR((M11-(COUNTIFS('All Contacts'!$E:$E, "Y", 'All Contacts'!$AB:$AB, "Cycle 3")+COUNTIFS('All Contacts'!$F:$F, "Y", 'All Contacts'!$AB:$AB, "Cycle 3"))-(COUNTIFS('All Contacts'!$E:$E, "N/A", 'All Contacts'!$AB:$AB, "Cycle 3")+COUNTIFS('All Contacts'!$F:$F, "N/A", 'All Contacts'!$AB:$AB, "Cycle 3")))/M11,0)</f>
        <v>0</v>
      </c>
      <c r="N25" s="204">
        <f>IFERROR((COUNTIFS('All Contacts'!$E:$E, "Y", 'All Contacts'!$AB:$AB, "Cycle 3")+COUNTIFS('All Contacts'!$F:$F, "Y", 'All Contacts'!$AB:$AB, "Cycle 3"))/M11,0)</f>
        <v>0</v>
      </c>
      <c r="O25" s="229">
        <f>IFERROR((COUNTIFS('All Contacts'!$E:$E, "N/A", 'All Contacts'!$AB:$AB, "Cycle 3")+COUNTIFS('All Contacts'!$F:$F, "N/A", 'All Contacts'!$AB:$AB, "Cycle 3"))/M11,0)</f>
        <v>0</v>
      </c>
      <c r="P25" s="203">
        <f>IFERROR(1-Q25-R25,0)</f>
        <v>1</v>
      </c>
      <c r="Q25" s="204">
        <f>IFERROR((COUNTIFS('All Contacts'!$E:$E, "Y")+COUNTIFS('All Contacts'!$F:$F, "Y"))/P11,0)</f>
        <v>0</v>
      </c>
      <c r="R25" s="220">
        <f>IFERROR((COUNTIFS('All Contacts'!$E:$E, "N/A")+COUNTIFS('All Contacts'!$F:$F, "N/A"))/P11,0)</f>
        <v>0</v>
      </c>
    </row>
    <row r="26" spans="2:18" x14ac:dyDescent="0.2">
      <c r="E26" s="343"/>
      <c r="F26" s="223" t="s">
        <v>310</v>
      </c>
      <c r="G26" s="224">
        <f>IFERROR(COUNTIFS('All Contacts'!$M:$M, "Y", 'All Contacts'!$AB:$AB, "Cycle 1")/G11,0)</f>
        <v>0</v>
      </c>
      <c r="H26" s="222">
        <f>IFERROR(COUNTIFS('All Contacts'!$M:$M, "", 'All Contacts'!$AB:$AB, "Cycle 1")/G11,0)</f>
        <v>0</v>
      </c>
      <c r="I26" s="225">
        <f>IFERROR(COUNTIFS('All Contacts'!$M:$M, "n/a", 'All Contacts'!$AB:$AB, "Cycle 1")/G11,0)</f>
        <v>0</v>
      </c>
      <c r="J26" s="224">
        <f>IFERROR(COUNTIFS('All Contacts'!$M:$M, "Y", 'All Contacts'!$AB:$AB, "Cycle 2")/J11,0)</f>
        <v>0</v>
      </c>
      <c r="K26" s="222">
        <f>IFERROR(COUNTIFS('All Contacts'!$M:$M, "", 'All Contacts'!$AB:$AB, "Cycle 2")/J11,0)</f>
        <v>0</v>
      </c>
      <c r="L26" s="225">
        <f>IFERROR(COUNTIFS('All Contacts'!$M:$M, "n/a", 'All Contacts'!$AB:$AB, "Cycle 2")/J11,0)</f>
        <v>0</v>
      </c>
      <c r="M26" s="224">
        <f>IFERROR(COUNTIFS('All Contacts'!$M:$M, "Y", 'All Contacts'!$AB:$AB, "Cycle 3")/M11,0)</f>
        <v>0</v>
      </c>
      <c r="N26" s="222">
        <f>IFERROR(COUNTIFS('All Contacts'!$M:$M, "", 'All Contacts'!$AB:$AB, "Cycle 3")/M11,0)</f>
        <v>0</v>
      </c>
      <c r="O26" s="230">
        <f>IFERROR(COUNTIFS('All Contacts'!$M:$M, "n/a", 'All Contacts'!$AB:$AB, "Cycle 3")/M11,0)</f>
        <v>0</v>
      </c>
      <c r="P26" s="224">
        <f>IFERROR(COUNTIFS('All Contacts'!$M:$M, "Y")/P11,0)</f>
        <v>0</v>
      </c>
      <c r="Q26" s="222">
        <f>IFERROR(1-P26-R26,0)</f>
        <v>1</v>
      </c>
      <c r="R26" s="225">
        <f>IFERROR(COUNTIFS('All Contacts'!$M:$M, "n/a")/P11,0)</f>
        <v>0</v>
      </c>
    </row>
    <row r="27" spans="2:18" x14ac:dyDescent="0.2">
      <c r="E27" s="343"/>
      <c r="F27" s="223" t="s">
        <v>318</v>
      </c>
      <c r="G27" s="224">
        <f>IFERROR(COUNTIFS('All Contacts'!$N:$N, "Y", 'All Contacts'!$AB:$AB, "Cycle 1")/G11,0)</f>
        <v>0</v>
      </c>
      <c r="H27" s="222">
        <f>IFERROR(COUNTIFS('All Contacts'!$N:$N, "", 'All Contacts'!$AB:$AB, "Cycle 1")/G11,0)</f>
        <v>0</v>
      </c>
      <c r="I27" s="225">
        <f>IFERROR(COUNTIFS('All Contacts'!$N:$N, "N/A", 'All Contacts'!$AB:$AB, "Cycle 1")/G11,0)</f>
        <v>0</v>
      </c>
      <c r="J27" s="224">
        <f>IFERROR(COUNTIFS('All Contacts'!$N:$N, "Y", 'All Contacts'!$AB:$AB, "Cycle 2")/J11,0)</f>
        <v>0</v>
      </c>
      <c r="K27" s="222">
        <f>IFERROR(COUNTIFS('All Contacts'!$N:$N, "", 'All Contacts'!$AB:$AB, "Cycle 2")/J11,0)</f>
        <v>0</v>
      </c>
      <c r="L27" s="225">
        <f>IFERROR(COUNTIFS('All Contacts'!$N:$N, "N/A", 'All Contacts'!$AB:$AB, "Cycle 2")/J11,0)</f>
        <v>0</v>
      </c>
      <c r="M27" s="224">
        <f>IFERROR(COUNTIFS('All Contacts'!$N:$N, "Y", 'All Contacts'!$AB:$AB, "Cycle 3")/M11,0)</f>
        <v>0</v>
      </c>
      <c r="N27" s="222">
        <f>IFERROR(COUNTIFS('All Contacts'!$N:$N, "", 'All Contacts'!$AB:$AB, "Cycle 3")/M11,0)</f>
        <v>0</v>
      </c>
      <c r="O27" s="230">
        <f>IFERROR(COUNTIFS('All Contacts'!$N:$N, "N/A", 'All Contacts'!$AB:$AB, "Cycle 3")/M11,0)</f>
        <v>0</v>
      </c>
      <c r="P27" s="224">
        <f>IFERROR(COUNTIFS('All Contacts'!$N:$N, "Y")/P11,0)</f>
        <v>0</v>
      </c>
      <c r="Q27" s="222">
        <f>IFERROR(1-P27-R27,0)</f>
        <v>1</v>
      </c>
      <c r="R27" s="225">
        <f>IFERROR(COUNTIFS('All Contacts'!$N:$N, "N/A")/P11,0)</f>
        <v>0</v>
      </c>
    </row>
    <row r="28" spans="2:18" ht="13.5" thickBot="1" x14ac:dyDescent="0.25">
      <c r="E28" s="344"/>
      <c r="F28" s="202" t="s">
        <v>322</v>
      </c>
      <c r="G28" s="206">
        <f>IFERROR(COUNTIFS('All Contacts'!$O:$O, "Y", 'All Contacts'!$AB:$AB, "Cycle 1")/G11,0)</f>
        <v>0</v>
      </c>
      <c r="H28" s="207">
        <f>IFERROR(COUNTIFS('All Contacts'!$O:$O, "", 'All Contacts'!$AB:$AB, "Cycle 1")/G11,0)</f>
        <v>0</v>
      </c>
      <c r="I28" s="221">
        <f>IFERROR(COUNTIFS('All Contacts'!$O:$O, "N/A", 'All Contacts'!$AB:$AB, "Cycle 1")/G11,0)</f>
        <v>0</v>
      </c>
      <c r="J28" s="206">
        <f>IFERROR(COUNTIFS('All Contacts'!$O:$O, "Y", 'All Contacts'!$AB:$AB, "Cycle 2")/J11,0)</f>
        <v>0</v>
      </c>
      <c r="K28" s="207">
        <f>IFERROR(COUNTIFS('All Contacts'!$O:$O, "", 'All Contacts'!$AB:$AB, "Cycle 2")/J11,0)</f>
        <v>0</v>
      </c>
      <c r="L28" s="221">
        <f>IFERROR(COUNTIFS('All Contacts'!$O:$O, "N/A", 'All Contacts'!$AB:$AB, "Cycle 2")/J11,0)</f>
        <v>0</v>
      </c>
      <c r="M28" s="206">
        <f>IFERROR(COUNTIFS('All Contacts'!$O:$O, "Y", 'All Contacts'!$AB:$AB, "Cycle 3")/M11,0)</f>
        <v>0</v>
      </c>
      <c r="N28" s="207">
        <f>IFERROR(COUNTIFS('All Contacts'!$O:$O, "", 'All Contacts'!$AB:$AB, "Cycle 3")/M11,0)</f>
        <v>0</v>
      </c>
      <c r="O28" s="231">
        <f>IFERROR(COUNTIFS('All Contacts'!$O:$O, "N/A", 'All Contacts'!$AB:$AB, "Cycle 3")/M11,0)</f>
        <v>0</v>
      </c>
      <c r="P28" s="206">
        <f>IFERROR(COUNTIFS('All Contacts'!$O:$O, "Y")/P11,0)</f>
        <v>0</v>
      </c>
      <c r="Q28" s="207">
        <f>IFERROR(1-P28-R28,0)</f>
        <v>1</v>
      </c>
      <c r="R28" s="221">
        <f>IFERROR(COUNTIFS('All Contacts'!$O:$O, "N/A")/P11,0)</f>
        <v>0</v>
      </c>
    </row>
    <row r="29" spans="2:18" ht="13.5" thickBot="1" x14ac:dyDescent="0.25">
      <c r="B29" s="248"/>
      <c r="E29" s="12"/>
      <c r="I29" s="153"/>
      <c r="L29" s="153"/>
      <c r="P29" s="148"/>
      <c r="Q29" s="148"/>
      <c r="R29" s="153"/>
    </row>
    <row r="30" spans="2:18" x14ac:dyDescent="0.2">
      <c r="B30" s="246"/>
      <c r="E30" s="342" t="s">
        <v>403</v>
      </c>
      <c r="F30" s="201" t="s">
        <v>319</v>
      </c>
      <c r="G30" s="203">
        <f>IFERROR(COUNTIFS('All Contacts'!$P:$P, "Y", 'All Contacts'!$AB:$AB, "Cycle 1")/G11,0)</f>
        <v>0</v>
      </c>
      <c r="H30" s="204">
        <f>IFERROR(COUNTIFS('All Contacts'!$P:$P, "", 'All Contacts'!$AB:$AB, "Cycle 1")/G11,0)</f>
        <v>0</v>
      </c>
      <c r="I30" s="220">
        <f>IFERROR(COUNTIFS('All Contacts'!$P:$P, "N/A", 'All Contacts'!$AB:$AB, "Cycle 1")/G11,0)</f>
        <v>0</v>
      </c>
      <c r="J30" s="203">
        <f>IFERROR(COUNTIFS('All Contacts'!$P:$P, "Y", 'All Contacts'!$AB:$AB, "Cycle 2")/J11,0)</f>
        <v>0</v>
      </c>
      <c r="K30" s="204">
        <f>IFERROR(COUNTIFS('All Contacts'!$P:$P, "", 'All Contacts'!$AB:$AB, "Cycle 2")/J11,0)</f>
        <v>0</v>
      </c>
      <c r="L30" s="220">
        <f>IFERROR(COUNTIFS('All Contacts'!$P:$P, "N/A", 'All Contacts'!$AB:$AB, "Cycle 2")/J11,0)</f>
        <v>0</v>
      </c>
      <c r="M30" s="203">
        <f>IFERROR(COUNTIFS('All Contacts'!$P:$P, "Y", 'All Contacts'!$AB:$AB, "Cycle 3")/M11,0)</f>
        <v>0</v>
      </c>
      <c r="N30" s="204">
        <f>IFERROR(COUNTIFS('All Contacts'!$P:$P, "", 'All Contacts'!$AB:$AB, "Cycle 3")/M11,0)</f>
        <v>0</v>
      </c>
      <c r="O30" s="220">
        <f>IFERROR(COUNTIFS('All Contacts'!$P:$P, "N/A", 'All Contacts'!$AB:$AB, "Cycle 3")/M11,0)</f>
        <v>0</v>
      </c>
      <c r="P30" s="203">
        <f>IFERROR(COUNTIFS('All Contacts'!$P:$P, "Y")/P11,0)</f>
        <v>0</v>
      </c>
      <c r="Q30" s="204">
        <f>IFERROR(1-P30-R30,0)</f>
        <v>1</v>
      </c>
      <c r="R30" s="220">
        <f>IFERROR(COUNTIFS('All Contacts'!$P:$P, "N/A")/P11,0)</f>
        <v>0</v>
      </c>
    </row>
    <row r="31" spans="2:18" x14ac:dyDescent="0.2">
      <c r="B31" s="248"/>
      <c r="E31" s="343"/>
      <c r="F31" s="223" t="s">
        <v>320</v>
      </c>
      <c r="G31" s="224">
        <f>IFERROR(COUNTIFS('All Contacts'!$R:$R, "Y", 'All Contacts'!$AB:$AB, "Cycle 1")/G11,0)</f>
        <v>0</v>
      </c>
      <c r="H31" s="222">
        <f>IFERROR(COUNTIFS('All Contacts'!$R:$R, "", 'All Contacts'!$AB:$AB, "Cycle 1")/G11,0)</f>
        <v>0</v>
      </c>
      <c r="I31" s="225">
        <f>IFERROR(COUNTIFS('All Contacts'!$R:$R, "N/A", 'All Contacts'!$AB:$AB, "Cycle 1")/G11,0)</f>
        <v>0</v>
      </c>
      <c r="J31" s="224">
        <f>IFERROR(COUNTIFS('All Contacts'!$R:$R, "Y", 'All Contacts'!$AB:$AB, "Cycle 2")/J11,0)</f>
        <v>0</v>
      </c>
      <c r="K31" s="222">
        <f>IFERROR(COUNTIFS('All Contacts'!$R:$R, "", 'All Contacts'!$AB:$AB, "Cycle 2")/J11,0)</f>
        <v>0</v>
      </c>
      <c r="L31" s="225">
        <f>IFERROR(COUNTIFS('All Contacts'!$R:$R, "N/A", 'All Contacts'!$AB:$AB, "Cycle 2")/J11,0)</f>
        <v>0</v>
      </c>
      <c r="M31" s="224">
        <f>IFERROR(COUNTIFS('All Contacts'!$R:$R, "Y", 'All Contacts'!$AB:$AB, "Cycle 3")/M11,0)</f>
        <v>0</v>
      </c>
      <c r="N31" s="222">
        <f>IFERROR(COUNTIFS('All Contacts'!$R:$R, "", 'All Contacts'!$AB:$AB, "Cycle 3")/M11,0)</f>
        <v>0</v>
      </c>
      <c r="O31" s="225">
        <f>IFERROR(COUNTIFS('All Contacts'!$R:$R, "N/A", 'All Contacts'!$AB:$AB, "Cycle 3")/M11,0)</f>
        <v>0</v>
      </c>
      <c r="P31" s="224">
        <f>IFERROR(COUNTIFS('All Contacts'!$R:$R, "Y")/P11,0)</f>
        <v>0</v>
      </c>
      <c r="Q31" s="222">
        <f>IFERROR(1-P31-R31,0)</f>
        <v>1</v>
      </c>
      <c r="R31" s="225">
        <f>IFERROR(COUNTIFS('All Contacts'!$R:$R, "N/A")/P11,0)</f>
        <v>0</v>
      </c>
    </row>
    <row r="32" spans="2:18" ht="13.5" thickBot="1" x14ac:dyDescent="0.25">
      <c r="B32" s="246"/>
      <c r="E32" s="344"/>
      <c r="F32" s="202" t="s">
        <v>321</v>
      </c>
      <c r="G32" s="206">
        <f>IFERROR(COUNTIFS('All Contacts'!$Q:$Q, "Y", 'All Contacts'!$AB:$AB, "Cycle 1")/G11,0)</f>
        <v>0</v>
      </c>
      <c r="H32" s="207">
        <f>IFERROR(COUNTIFS('All Contacts'!$Q:$Q, "", 'All Contacts'!$AB:$AB, "Cycle 1")/G11,0)</f>
        <v>0</v>
      </c>
      <c r="I32" s="221">
        <f>IFERROR(COUNTIFS('All Contacts'!$Q:$Q, "N/A", 'All Contacts'!$AB:$AB, "Cycle 1")/G11,0)</f>
        <v>0</v>
      </c>
      <c r="J32" s="206">
        <f>IFERROR(COUNTIFS('All Contacts'!$Q:$Q, "Y", 'All Contacts'!$AB:$AB, "Cycle 2")/J11,0)</f>
        <v>0</v>
      </c>
      <c r="K32" s="207">
        <f>IFERROR(COUNTIFS('All Contacts'!$Q:$Q, "", 'All Contacts'!$AB:$AB, "Cycle 2")/J11,0)</f>
        <v>0</v>
      </c>
      <c r="L32" s="221">
        <f>IFERROR(COUNTIFS('All Contacts'!$Q:$Q, "N/A", 'All Contacts'!$AB:$AB, "Cycle 2")/J11,0)</f>
        <v>0</v>
      </c>
      <c r="M32" s="206">
        <f>IFERROR(COUNTIFS('All Contacts'!$Q:$Q, "Y", 'All Contacts'!$AB:$AB, "Cycle 3")/M11,0)</f>
        <v>0</v>
      </c>
      <c r="N32" s="207">
        <f>IFERROR(COUNTIFS('All Contacts'!$Q:$Q, "", 'All Contacts'!$AB:$AB, "Cycle 3")/M11,0)</f>
        <v>0</v>
      </c>
      <c r="O32" s="221">
        <f>IFERROR(COUNTIFS('All Contacts'!$Q:$Q, "N/A", 'All Contacts'!$AB:$AB, "Cycle 3")/M11,0)</f>
        <v>0</v>
      </c>
      <c r="P32" s="206">
        <f>IFERROR(COUNTIFS('All Contacts'!$Q:$Q, "Y")/P11,0)</f>
        <v>0</v>
      </c>
      <c r="Q32" s="207">
        <f>IFERROR(1-P32-R32,0)</f>
        <v>1</v>
      </c>
      <c r="R32" s="221">
        <f>IFERROR(COUNTIFS('All Contacts'!$Q:$Q, "N/A")/P11,0)</f>
        <v>0</v>
      </c>
    </row>
    <row r="33" spans="2:18" ht="13.5" thickBot="1" x14ac:dyDescent="0.25">
      <c r="B33" s="248"/>
      <c r="E33" s="12"/>
      <c r="F33" s="48"/>
      <c r="G33" s="243">
        <f>COUNTIFS('All Contacts'!AB:AB,"Cycle 1",'All Contacts'!A:A,"Call")+COUNTIFS('All Contacts'!AB:AB,"Cycle 1",'All Contacts'!A:A,"Chat")</f>
        <v>0</v>
      </c>
      <c r="H33" s="243">
        <f>COUNTIFS('All Contacts'!AB:AB,"Cycle 1",'All Contacts'!A:A,"Email")+COUNTIFS('All Contacts'!AB:AB,"Cycle 1",'All Contacts'!A:A,"Chat")</f>
        <v>0</v>
      </c>
      <c r="I33" s="237"/>
      <c r="J33" s="244">
        <f>COUNTIFS('All Contacts'!AB:AB,"Cycle 2",'All Contacts'!A:A,"Call")+COUNTIFS('All Contacts'!AB:AB,"Cycle 2",'All Contacts'!A:A,"Chat")</f>
        <v>0</v>
      </c>
      <c r="K33" s="244">
        <f>COUNTIFS('All Contacts'!AB:AB,"Cycle 2",'All Contacts'!A:A,"Email")+COUNTIFS('All Contacts'!AB:AB,"Cycle 2",'All Contacts'!A:A,"Chat")</f>
        <v>0</v>
      </c>
      <c r="L33" s="237"/>
      <c r="M33" s="243">
        <f>COUNTIFS('All Contacts'!AB:AB,"Cycle 3",'All Contacts'!A:A,"Call")+COUNTIFS('All Contacts'!AB:AB,"Cycle 3",'All Contacts'!A:A,"Chat")</f>
        <v>0</v>
      </c>
      <c r="N33" s="243">
        <f>COUNTIFS('All Contacts'!AB:AB,"Cycle 3",'All Contacts'!A:A,"Email")+COUNTIFS('All Contacts'!AB:AB,"Cycle 3",'All Contacts'!A:A,"Chat")</f>
        <v>0</v>
      </c>
      <c r="O33" s="237"/>
      <c r="P33" s="243">
        <f>COUNTIFS('All Contacts'!A:A,"Call")+COUNTIFS('All Contacts'!A:A,"Chat")</f>
        <v>0</v>
      </c>
      <c r="Q33" s="243">
        <f>COUNTIFS('All Contacts'!A:A,"Email")+COUNTIFS('All Contacts'!A:A,"Chat")</f>
        <v>0</v>
      </c>
      <c r="R33" s="237"/>
    </row>
    <row r="34" spans="2:18" x14ac:dyDescent="0.2">
      <c r="B34" s="246"/>
      <c r="E34" s="342" t="s">
        <v>404</v>
      </c>
      <c r="F34" s="201" t="s">
        <v>325</v>
      </c>
      <c r="G34" s="203">
        <f>IFERROR((COUNTIFS('All Contacts'!$T:$T, "Y", 'All Contacts'!$AB:$AB, "Cycle 1",'All Contacts'!$A:$A,"Call")+COUNTIFS('All Contacts'!$T:$T, "Y", 'All Contacts'!$AB:$AB, "Cycle 1",'All Contacts'!$A:$A,"Chat"))/G33,0)</f>
        <v>0</v>
      </c>
      <c r="H34" s="204">
        <f>IFERROR((COUNTIFS('All Contacts'!$T:$T, "", 'All Contacts'!$AB:$AB, "Cycle 1",'All Contacts'!$A:$A,"Call")+COUNTIFS('All Contacts'!$T:$T, "", 'All Contacts'!$AB:$AB, "Cycle 1",'All Contacts'!$A:$A,"Chat"))/G33,0)</f>
        <v>0</v>
      </c>
      <c r="I34" s="220">
        <f>IFERROR((COUNTIFS('All Contacts'!$T:$T, "N/A", 'All Contacts'!$AB:$AB, "Cycle 1",'All Contacts'!$A:$A,"Call")+COUNTIFS('All Contacts'!$T:$T, "N/A", 'All Contacts'!$AB:$AB, "Cycle 1",'All Contacts'!$A:$A,"Chat"))/G33,0)</f>
        <v>0</v>
      </c>
      <c r="J34" s="203">
        <f>IFERROR((COUNTIFS('All Contacts'!$T:$T, "Y", 'All Contacts'!$AB:$AB, "Cycle 2",'All Contacts'!$A:$A,"Call")+COUNTIFS('All Contacts'!$T:$T, "Y", 'All Contacts'!$AB:$AB, "Cycle 2",'All Contacts'!$A:$A,"Chat"))/J33,0)</f>
        <v>0</v>
      </c>
      <c r="K34" s="204">
        <f>IFERROR((COUNTIFS('All Contacts'!$T:$T, "", 'All Contacts'!$AB:$AB, "Cycle 2",'All Contacts'!$A:$A,"Call")+COUNTIFS('All Contacts'!$T:$T, "", 'All Contacts'!$AB:$AB, "Cycle 2",'All Contacts'!$A:$A,"Chat"))/J33,0)</f>
        <v>0</v>
      </c>
      <c r="L34" s="220">
        <f>IFERROR((COUNTIFS('All Contacts'!$T:$T, "N/A", 'All Contacts'!$AB:$AB, "Cycle 2",'All Contacts'!$A:$A,"Call")+COUNTIFS('All Contacts'!$T:$T, "N/A", 'All Contacts'!$AB:$AB, "Cycle 2",'All Contacts'!$A:$A,"Chat"))/J33,0)</f>
        <v>0</v>
      </c>
      <c r="M34" s="203">
        <f>IFERROR((COUNTIFS('All Contacts'!$T:$T, "Y", 'All Contacts'!$AB:$AB, "Cycle 3",'All Contacts'!$A:$A,"Call")+COUNTIFS('All Contacts'!$T:$T, "Y", 'All Contacts'!$AB:$AB, "Cycle 3",'All Contacts'!$A:$A,"Chat"))/M33,0)</f>
        <v>0</v>
      </c>
      <c r="N34" s="204">
        <f>IFERROR((COUNTIFS('All Contacts'!$T:$T, "", 'All Contacts'!$AB:$AB, "Cycle 3",'All Contacts'!$A:$A,"Call")+COUNTIFS('All Contacts'!$T:$T, "", 'All Contacts'!$AB:$AB, "Cycle 3",'All Contacts'!$A:$A,"Chat"))/M33,0)</f>
        <v>0</v>
      </c>
      <c r="O34" s="220">
        <f>IFERROR((COUNTIFS('All Contacts'!$T:$T, "N/A", 'All Contacts'!$AB:$AB, "Cycle 3",'All Contacts'!$A:$A,"Call")+COUNTIFS('All Contacts'!$T:$T, "N/A", 'All Contacts'!$AB:$AB, "Cycle 3",'All Contacts'!$A:$A,"Chat"))/M33,0)</f>
        <v>0</v>
      </c>
      <c r="P34" s="203">
        <f>IFERROR((COUNTIFS('All Contacts'!$T:$T, "Y",'All Contacts'!$A:$A,"Call")+COUNTIFS('All Contacts'!$T:$T, "Y",'All Contacts'!$A:$A,"Chat"))/P33,0)</f>
        <v>0</v>
      </c>
      <c r="Q34" s="204">
        <f>IFERROR((COUNTIFS('All Contacts'!$T:$T, "",'All Contacts'!$A:$A,"Call")+COUNTIFS('All Contacts'!$T:$T, "",'All Contacts'!$A:$A,"Chat"))/P33,0)</f>
        <v>0</v>
      </c>
      <c r="R34" s="220">
        <f>IFERROR((COUNTIFS('All Contacts'!$T:$T, "N/A",'All Contacts'!$A:$A,"Call")+COUNTIFS('All Contacts'!$T:$T, "N/A",'All Contacts'!$A:$A,"Chat"))/P33,0)</f>
        <v>0</v>
      </c>
    </row>
    <row r="35" spans="2:18" x14ac:dyDescent="0.2">
      <c r="B35" s="248"/>
      <c r="E35" s="343"/>
      <c r="F35" s="223" t="s">
        <v>297</v>
      </c>
      <c r="G35" s="224">
        <f>IFERROR(1-H35-I35,0)</f>
        <v>1</v>
      </c>
      <c r="H35" s="222">
        <f>IFERROR((COUNTIFS('All Contacts'!$I:$I, "", 'All Contacts'!$AB:$AB, "Cycle 1")+COUNTIFS('All Contacts'!$S:$S, "", 'All Contacts'!$AB:$AB, "Cycle 1"))/G11,0)</f>
        <v>0</v>
      </c>
      <c r="I35" s="225">
        <f>IFERROR((COUNTIFS('All Contacts'!$I:$I, "N/A", 'All Contacts'!$AB:$AB, "Cycle 1")+COUNTIFS('All Contacts'!$S:$S, "N/A", 'All Contacts'!$AB:$AB, "Cycle 1"))/G11,0)</f>
        <v>0</v>
      </c>
      <c r="J35" s="224">
        <f>IFERROR(1-K35-L35,0)</f>
        <v>1</v>
      </c>
      <c r="K35" s="222">
        <f>IFERROR((COUNTIFS('All Contacts'!$I:$I, "", 'All Contacts'!$AB:$AB, "Cycle 2")+COUNTIFS('All Contacts'!$S:$S, "", 'All Contacts'!$AB:$AB, "Cycle 2"))/J11,0)</f>
        <v>0</v>
      </c>
      <c r="L35" s="225">
        <f>IFERROR((COUNTIFS('All Contacts'!$I:$I, "N/A", 'All Contacts'!$AB:$AB, "Cycle 2")+COUNTIFS('All Contacts'!$S:$S, "N/A", 'All Contacts'!$AB:$AB, "Cycle 2"))/J11,0)</f>
        <v>0</v>
      </c>
      <c r="M35" s="224">
        <f>IFERROR(1-N35-O35,0)</f>
        <v>1</v>
      </c>
      <c r="N35" s="222">
        <f>IFERROR((COUNTIFS('All Contacts'!$I:$I, "", 'All Contacts'!$AB:$AB, "Cycle 3")+COUNTIFS('All Contacts'!$S:$S, "", 'All Contacts'!$AB:$AB, "Cycle 3"))/M11,0)</f>
        <v>0</v>
      </c>
      <c r="O35" s="225">
        <f>IFERROR((COUNTIFS('All Contacts'!$I:$I, "N/A", 'All Contacts'!$AB:$AB, "Cycle 3")+COUNTIFS('All Contacts'!$S:$S, "N/A", 'All Contacts'!$AB:$AB, "Cycle 3"))/M11,0)</f>
        <v>0</v>
      </c>
      <c r="P35" s="224">
        <f>IFERROR(1-Q35-R35,0)</f>
        <v>1</v>
      </c>
      <c r="Q35" s="222">
        <f>IFERROR((COUNTIFS('All Contacts'!$I:$I, "",'All Contacts'!A:A,"&lt;&gt;")+COUNTIFS('All Contacts'!$S:$S, "",'All Contacts'!A:A,"&lt;&gt;"))/P11,0)</f>
        <v>0</v>
      </c>
      <c r="R35" s="225">
        <f>IFERROR((COUNTIFS('All Contacts'!$I:$I, "N/A")+COUNTIFS('All Contacts'!$S:$S, "N/A"))/P11,0)</f>
        <v>0</v>
      </c>
    </row>
    <row r="36" spans="2:18" ht="13.5" thickBot="1" x14ac:dyDescent="0.25">
      <c r="B36" s="246"/>
      <c r="E36" s="344"/>
      <c r="F36" s="202" t="s">
        <v>323</v>
      </c>
      <c r="G36" s="206">
        <f>IFERROR((COUNTIFS('All Contacts'!$U:$U, "Y", 'All Contacts'!$AB:$AB, "Cycle 1",'All Contacts'!$A:$A,"Chat")+COUNTIFS('All Contacts'!$V:$V, "Y", 'All Contacts'!$AB:$AB, "Cycle 1",'All Contacts'!$A:$A,"Email"))/H33,0)</f>
        <v>0</v>
      </c>
      <c r="H36" s="207">
        <f>IFERROR((COUNTIFS('All Contacts'!$U:$U, "", 'All Contacts'!$AB:$AB, "Cycle 1",'All Contacts'!$A:$A,"Chat")+COUNTIFS('All Contacts'!$V:$V, "", 'All Contacts'!$AB:$AB, "Cycle 1",'All Contacts'!$A:$A,"Email"))/H33,0)</f>
        <v>0</v>
      </c>
      <c r="I36" s="221">
        <f>IFERROR((COUNTIFS('All Contacts'!$U:$U, "N/A", 'All Contacts'!$AB:$AB, "Cycle 1",'All Contacts'!$A:$A,"Chat")+COUNTIFS('All Contacts'!$V:$V, "N/A", 'All Contacts'!$AB:$AB, "Cycle 1",'All Contacts'!$A:$A,"Email"))/H33,0)</f>
        <v>0</v>
      </c>
      <c r="J36" s="206">
        <f>IFERROR((COUNTIFS('All Contacts'!$U:$U, "Y", 'All Contacts'!$AB:$AB, "Cycle 2",'All Contacts'!$A:$A,"Chat")+COUNTIFS('All Contacts'!$V:$V, "Y", 'All Contacts'!$AB:$AB, "Cycle 2",'All Contacts'!$A:$A,"Email"))/K33,0)</f>
        <v>0</v>
      </c>
      <c r="K36" s="207">
        <f>IFERROR((COUNTIFS('All Contacts'!$U:$U, "", 'All Contacts'!$AB:$AB, "Cycle 2",'All Contacts'!$A:$A,"Chat")+COUNTIFS('All Contacts'!$V:$V, "", 'All Contacts'!$AB:$AB, "Cycle 2",'All Contacts'!$A:$A,"Email"))/K33,0)</f>
        <v>0</v>
      </c>
      <c r="L36" s="221">
        <f>IFERROR((COUNTIFS('All Contacts'!$U:$U, "N/A", 'All Contacts'!$AB:$AB, "Cycle 2",'All Contacts'!$A:$A,"Chat")+COUNTIFS('All Contacts'!$V:$V, "N/A", 'All Contacts'!$AB:$AB, "Cycle 2",'All Contacts'!$A:$A,"Email"))/K33,0)</f>
        <v>0</v>
      </c>
      <c r="M36" s="206">
        <f>IFERROR((COUNTIFS('All Contacts'!$U:$U, "Y", 'All Contacts'!$AB:$AB, "Cycle 3",'All Contacts'!$A:$A,"Chat")+COUNTIFS('All Contacts'!$V:$V, "Y", 'All Contacts'!$AB:$AB, "Cycle 3",'All Contacts'!$A:$A,"Email"))/N33,0)</f>
        <v>0</v>
      </c>
      <c r="N36" s="207">
        <f>IFERROR((COUNTIFS('All Contacts'!$U:$U, "", 'All Contacts'!$AB:$AB, "Cycle 3",'All Contacts'!$A:$A,"Chat")+COUNTIFS('All Contacts'!$V:$V, "", 'All Contacts'!$AB:$AB, "Cycle 3",'All Contacts'!$A:$A,"Email"))/N33,0)</f>
        <v>0</v>
      </c>
      <c r="O36" s="221">
        <f>IFERROR((COUNTIFS('All Contacts'!$U:$U, "N/A", 'All Contacts'!$AB:$AB, "Cycle 3",'All Contacts'!$A:$A,"Chat")+COUNTIFS('All Contacts'!$V:$V, "N/A", 'All Contacts'!$AB:$AB, "Cycle 3",'All Contacts'!$A:$A,"Email"))/N33,0)</f>
        <v>0</v>
      </c>
      <c r="P36" s="206">
        <f>IFERROR((COUNTIFS('All Contacts'!$U:$U, "Y",'All Contacts'!$A:$A,"Chat")+COUNTIFS('All Contacts'!$V:$V, "Y",'All Contacts'!$A:$A,"Email"))/Q33,0)</f>
        <v>0</v>
      </c>
      <c r="Q36" s="207">
        <f>IFERROR((COUNTIFS('All Contacts'!$U:$U, "",'All Contacts'!$A:$A,"Chat")+COUNTIFS('All Contacts'!$V:$V, "",'All Contacts'!$A:$A,"Email"))/Q33,0)</f>
        <v>0</v>
      </c>
      <c r="R36" s="221">
        <f>IFERROR((COUNTIFS('All Contacts'!$U:$U, "N/A",'All Contacts'!$A:$A,"Chat")+COUNTIFS('All Contacts'!$V:$V, "N/A",'All Contacts'!$A:$A,"Email"))/Q33,0)</f>
        <v>0</v>
      </c>
    </row>
    <row r="37" spans="2:18" x14ac:dyDescent="0.2">
      <c r="E37" s="49">
        <f>COUNTIF('All Contacts'!Y:Y,"LQ")</f>
        <v>0</v>
      </c>
      <c r="G37" s="237">
        <f>COUNTIFS('All Contacts'!AB:AB,"Cycle 1",'All Contacts'!Y:Y,"LQ")</f>
        <v>0</v>
      </c>
      <c r="H37" s="237"/>
      <c r="I37" s="237"/>
      <c r="J37" s="234">
        <f>COUNTIFS('All Contacts'!AB:AB,"Cycle 2",'All Contacts'!Y:Y,"LQ")</f>
        <v>0</v>
      </c>
      <c r="K37" s="234"/>
      <c r="L37" s="242"/>
      <c r="M37" s="237">
        <f>COUNTIFS('All Contacts'!AB:AB,"Cycle 3",'All Contacts'!Y:Y,"LQ")</f>
        <v>0</v>
      </c>
      <c r="N37" s="237"/>
      <c r="O37" s="237"/>
      <c r="P37" s="237">
        <f>COUNTIFS('All Contacts'!Y:Y,"LQ")</f>
        <v>0</v>
      </c>
      <c r="Q37" s="237"/>
      <c r="R37" s="237"/>
    </row>
    <row r="38" spans="2:18" ht="13.5" thickBot="1" x14ac:dyDescent="0.25">
      <c r="G38" s="34" t="str">
        <f>"Total "&amp;G37&amp;" Low Quality Contacts in Cycle 1"</f>
        <v>Total 0 Low Quality Contacts in Cycle 1</v>
      </c>
      <c r="H38" s="237"/>
      <c r="I38" s="237"/>
      <c r="J38" s="34" t="str">
        <f>"Total "&amp;J37&amp;" Low Quality Contacts in Cycle 2"</f>
        <v>Total 0 Low Quality Contacts in Cycle 2</v>
      </c>
      <c r="K38" s="234"/>
      <c r="L38" s="242"/>
      <c r="M38" s="33" t="str">
        <f>"Total "&amp;M37&amp;" Low Quality Contacts in Cycle 3"</f>
        <v>Total 0 Low Quality Contacts in Cycle 3</v>
      </c>
      <c r="N38" s="237"/>
      <c r="O38" s="237"/>
      <c r="P38" s="31" t="str">
        <f>"Total "&amp;COUNTIF('All Contacts'!Y:Y,"LQ")&amp;" Low Quality Contacts"</f>
        <v>Total 0 Low Quality Contacts</v>
      </c>
      <c r="Q38" s="237"/>
      <c r="R38" s="237"/>
    </row>
    <row r="39" spans="2:18" x14ac:dyDescent="0.2">
      <c r="E39" s="351" t="s">
        <v>420</v>
      </c>
      <c r="F39" s="352"/>
      <c r="G39" s="345" t="s">
        <v>415</v>
      </c>
      <c r="H39" s="346"/>
      <c r="I39" s="346"/>
      <c r="J39" s="345" t="s">
        <v>417</v>
      </c>
      <c r="K39" s="346"/>
      <c r="L39" s="346"/>
      <c r="M39" s="345" t="s">
        <v>418</v>
      </c>
      <c r="N39" s="346"/>
      <c r="O39" s="346"/>
      <c r="P39" s="345" t="s">
        <v>433</v>
      </c>
      <c r="Q39" s="346"/>
      <c r="R39" s="346"/>
    </row>
    <row r="40" spans="2:18" ht="26.25" thickBot="1" x14ac:dyDescent="0.25">
      <c r="E40" s="353"/>
      <c r="F40" s="354"/>
      <c r="G40" s="164" t="s">
        <v>129</v>
      </c>
      <c r="H40" s="164" t="s">
        <v>335</v>
      </c>
      <c r="I40" s="164" t="s">
        <v>416</v>
      </c>
      <c r="J40" s="164" t="s">
        <v>129</v>
      </c>
      <c r="K40" s="164" t="s">
        <v>335</v>
      </c>
      <c r="L40" s="164" t="s">
        <v>416</v>
      </c>
      <c r="M40" s="164" t="s">
        <v>129</v>
      </c>
      <c r="N40" s="164" t="s">
        <v>335</v>
      </c>
      <c r="O40" s="164" t="s">
        <v>416</v>
      </c>
      <c r="P40" s="164" t="s">
        <v>129</v>
      </c>
      <c r="Q40" s="164" t="s">
        <v>335</v>
      </c>
      <c r="R40" s="165" t="s">
        <v>416</v>
      </c>
    </row>
    <row r="41" spans="2:18" x14ac:dyDescent="0.2">
      <c r="E41" s="347" t="s">
        <v>397</v>
      </c>
      <c r="F41" s="160" t="s">
        <v>326</v>
      </c>
      <c r="G41" s="209">
        <f>IFERROR(G37-COUNTIFS('All Contacts'!$C:$C, "Y", 'All Contacts'!$AB:$AB, "Cycle 1",'All Contacts'!Y:Y,"LQ")-COUNTIFS('All Contacts'!$D:$D, "Y", 'All Contacts'!$AB:$AB, "Cycle 1",'All Contacts'!Y:Y,"LQ")-COUNTIFS('All Contacts'!$C:$C, "N/A", 'All Contacts'!$AB:$AB, "Cycle 1",'All Contacts'!Y:Y,"LQ")-COUNTIFS('All Contacts'!$D:$D, "N/A", 'All Contacts'!$AB:$AB, "Cycle 1",'All Contacts'!Y:Y,"LQ")/G37,0)</f>
        <v>0</v>
      </c>
      <c r="H41" s="210">
        <f>IFERROR((COUNTIFS('All Contacts'!$C:$C, "Y", 'All Contacts'!$AB:$AB, "Cycle 1",'All Contacts'!Y:Y,"LQ")+COUNTIFS('All Contacts'!$D:$D, "Y", 'All Contacts'!$AB:$AB, "Cycle 1",'All Contacts'!Y:Y,"LQ"))/G37,0)</f>
        <v>0</v>
      </c>
      <c r="I41" s="211">
        <f>IFERROR(COUNTIFS('All Contacts'!$C:$C, "N/A", 'All Contacts'!$AB:$AB, "Cycle 1",'All Contacts'!Y:Y,"LQ")+COUNTIFS('All Contacts'!$D:$D, "N/A", 'All Contacts'!$AB:$AB, "Cycle 1",'All Contacts'!Y:Y,"LQ")/G37,0)</f>
        <v>0</v>
      </c>
      <c r="J41" s="209">
        <f>IFERROR((J37-COUNTIFS('All Contacts'!$C:$C, "Y", 'All Contacts'!$AB:$AB, "Cycle 2",'All Contacts'!Y:Y,"LQ")-COUNTIFS('All Contacts'!$D:$D, "Y", 'All Contacts'!$AB:$AB, "Cycle 2",'All Contacts'!Y:Y,"LQ")-COUNTIFS('All Contacts'!$C:$C, "N/A", 'All Contacts'!$AB:$AB, "Cycle 2",'All Contacts'!Y:Y,"LQ")-COUNTIFS('All Contacts'!$D:$D, "N/A", 'All Contacts'!$AB:$AB, "Cycle 2",'All Contacts'!Y:Y,"LQ"))/J37,0)</f>
        <v>0</v>
      </c>
      <c r="K41" s="210">
        <f>IFERROR((COUNTIFS('All Contacts'!$C:$C, "Y", 'All Contacts'!$AB:$AB, "Cycle 2",'All Contacts'!Y:Y,"LQ")+COUNTIFS('All Contacts'!$D:$D, "Y", 'All Contacts'!$AB:$AB, "Cycle 2",'All Contacts'!Y:Y,"LQ"))/J37,0)</f>
        <v>0</v>
      </c>
      <c r="L41" s="211">
        <f>IFERROR((COUNTIFS('All Contacts'!$C:$C, "N/A", 'All Contacts'!$AB:$AB, "Cycle 2",'All Contacts'!Y:Y,"LQ")+COUNTIFS('All Contacts'!$D:$D, "N/A", 'All Contacts'!$AB:$AB, "Cycle 2",'All Contacts'!Y:Y,"LQ"))/J37,0)</f>
        <v>0</v>
      </c>
      <c r="M41" s="226">
        <f>IFERROR((J37-COUNTIFS('All Contacts'!$C:$C, "Y", 'All Contacts'!$AB:$AB, "Cycle 3",'All Contacts'!Y:Y,"LQ")-COUNTIFS('All Contacts'!$D:$D, "Y", 'All Contacts'!$AB:$AB, "Cycle 3",'All Contacts'!Y:Y,"LQ")-COUNTIFS('All Contacts'!$C:$C, "N/A", 'All Contacts'!$AB:$AB, "Cycle 3",'All Contacts'!Y:Y,"LQ")-COUNTIFS('All Contacts'!$D:$D, "N/A", 'All Contacts'!$AB:$AB, "Cycle 3",'All Contacts'!Y:Y,"LQ"))/J37,0)</f>
        <v>0</v>
      </c>
      <c r="N41" s="210">
        <f>IFERROR((COUNTIFS('All Contacts'!$C:$C, "Y", 'All Contacts'!$AB:$AB, "Cycle 3",'All Contacts'!Y:Y,"LQ")+COUNTIFS('All Contacts'!$D:$D, "Y", 'All Contacts'!$AB:$AB, "Cycle 3",'All Contacts'!Y:Y,"LQ"))/M37,0)</f>
        <v>0</v>
      </c>
      <c r="O41" s="211">
        <f>IFERROR((COUNTIFS('All Contacts'!$C:$C, "N/A", 'All Contacts'!$AB:$AB, "Cycle 3",'All Contacts'!Y:Y,"LQ")+COUNTIFS('All Contacts'!$D:$D, "N/A", 'All Contacts'!$AB:$AB, "Cycle 3",'All Contacts'!Y:Y,"LQ"))/M37,0)</f>
        <v>0</v>
      </c>
      <c r="P41" s="209">
        <f>IFERROR(1-Q41-R41,0)</f>
        <v>1</v>
      </c>
      <c r="Q41" s="210">
        <f>IFERROR((COUNTIFS('All Contacts'!$C:$C, "Y",'All Contacts'!Y:Y,"LQ")+COUNTIFS('All Contacts'!$D:$D, "Y",'All Contacts'!Y:Y,"LQ"))/P37,0)</f>
        <v>0</v>
      </c>
      <c r="R41" s="211">
        <f>IFERROR((COUNTIFS('All Contacts'!$C:$C, "N/A",'All Contacts'!Y:Y,"LQ")+COUNTIFS('All Contacts'!$D:$D, "N/A",'All Contacts'!Y:Y,"LQ"))/P37,0)</f>
        <v>0</v>
      </c>
    </row>
    <row r="42" spans="2:18" x14ac:dyDescent="0.2">
      <c r="E42" s="348"/>
      <c r="F42" s="158" t="s">
        <v>398</v>
      </c>
      <c r="G42" s="212">
        <f>IFERROR(COUNTIFS('All Contacts'!$H:$H, "", 'All Contacts'!$AB:$AB, "Cycle 1",'All Contacts'!Y:Y,"LQ")/G37,0)</f>
        <v>0</v>
      </c>
      <c r="H42" s="213">
        <f>IFERROR(COUNTIFS('All Contacts'!$H:$H, "Y", 'All Contacts'!$AB:$AB, "Cycle 1",'All Contacts'!Y:Y,"LQ")/G37,0)</f>
        <v>0</v>
      </c>
      <c r="I42" s="214">
        <f>IFERROR(COUNTIFS('All Contacts'!$H:$H,"N/A",'All Contacts'!$AB:$AB,"Cycle 1",'All Contacts'!Y:Y,"LQ")/G37,0)</f>
        <v>0</v>
      </c>
      <c r="J42" s="212">
        <f>IFERROR(COUNTIFS('All Contacts'!$H:$H, "", 'All Contacts'!$AB:$AB, "Cycle 2",'All Contacts'!Y:Y,"LQ")/J37,0)</f>
        <v>0</v>
      </c>
      <c r="K42" s="213">
        <f>IFERROR(COUNTIFS('All Contacts'!$H:$H, "Y", 'All Contacts'!$AB:$AB, "Cycle 2",'All Contacts'!Y:Y,"LQ")/J37,0)</f>
        <v>0</v>
      </c>
      <c r="L42" s="215">
        <f>IFERROR(COUNTIFS('All Contacts'!$H:$H, "N/A", 'All Contacts'!$AB:$AB, "Cycle 2",'All Contacts'!Y:Y,"LQ")/J37,0)</f>
        <v>0</v>
      </c>
      <c r="M42" s="212">
        <f>IFERROR(COUNTIFS('All Contacts'!$H:$H, "", 'All Contacts'!$AB:$AB, "Cycle 3",'All Contacts'!Y:Y,"LQ")/M37,0)</f>
        <v>0</v>
      </c>
      <c r="N42" s="213">
        <f>IFERROR(COUNTIFS('All Contacts'!$H:$H, "Y", 'All Contacts'!$AB:$AB, "Cycle 3",'All Contacts'!Y:Y,"LQ")/M37,0)</f>
        <v>0</v>
      </c>
      <c r="O42" s="215">
        <f>IFERROR(COUNTIFS('All Contacts'!$H:$H, "N/A", 'All Contacts'!$AB:$AB, "Cycle 3",'All Contacts'!Y:Y,"LQ")/M37,0)</f>
        <v>0</v>
      </c>
      <c r="P42" s="212">
        <f>IFERROR(1-Q42-R42,0)</f>
        <v>1</v>
      </c>
      <c r="Q42" s="213">
        <f>IFERROR(COUNTIFS('All Contacts'!$H:$H, "Y",'All Contacts'!Y:Y,"LQ")/P37,0)</f>
        <v>0</v>
      </c>
      <c r="R42" s="214">
        <f>IFERROR(COUNTIFS('All Contacts'!$H:$H, "N/A",'All Contacts'!Y:Y,"LQ")/P37,0)</f>
        <v>0</v>
      </c>
    </row>
    <row r="43" spans="2:18" ht="13.5" thickBot="1" x14ac:dyDescent="0.25">
      <c r="E43" s="349"/>
      <c r="F43" s="161" t="s">
        <v>291</v>
      </c>
      <c r="G43" s="216">
        <f>IFERROR(COUNTIFS('All Contacts'!$B:$B, "", 'All Contacts'!$AB:$AB, "Cycle 1",'All Contacts'!Y:Y,"LQ")/G37,0)</f>
        <v>0</v>
      </c>
      <c r="H43" s="217">
        <f>IFERROR(COUNTIFS('All Contacts'!$B:$B, "Y", 'All Contacts'!$AB:$AB, "Cycle 1",'All Contacts'!Y:Y,"LQ")/G37,0)</f>
        <v>0</v>
      </c>
      <c r="I43" s="218">
        <f>IFERROR(COUNTIFS('All Contacts'!$B:$B, "N/A", 'All Contacts'!$AB:$AB, "Cycle 1",'All Contacts'!Y:Y,"LQ")/G37,0)</f>
        <v>0</v>
      </c>
      <c r="J43" s="216">
        <f>IFERROR(COUNTIFS('All Contacts'!$B:$B, "", 'All Contacts'!$AB:$AB, "Cycle 2",'All Contacts'!Y:Y,"LQ")/J37,0)</f>
        <v>0</v>
      </c>
      <c r="K43" s="217">
        <f>IFERROR(COUNTIFS('All Contacts'!$B:$B, "Y", 'All Contacts'!$AB:$AB, "Cycle 2",'All Contacts'!Y:Y,"LQ")/J37,0)</f>
        <v>0</v>
      </c>
      <c r="L43" s="219">
        <f>IFERROR(COUNTIFS('All Contacts'!$B:$B, "N/A", 'All Contacts'!$AB:$AB, "Cycle 2",'All Contacts'!Y:Y,"LQ")/J37,0)</f>
        <v>0</v>
      </c>
      <c r="M43" s="216">
        <f>IFERROR(COUNTIFS('All Contacts'!$B:$B, "", 'All Contacts'!$AB:$AB, "Cycle 3",'All Contacts'!Y:Y,"LQ")/M37,0)</f>
        <v>0</v>
      </c>
      <c r="N43" s="217">
        <f>IFERROR(COUNTIFS('All Contacts'!$B:$B, "Y", 'All Contacts'!$AB:$AB, "Cycle 3",'All Contacts'!Y:Y,"LQ")/M37,0)</f>
        <v>0</v>
      </c>
      <c r="O43" s="219">
        <f>IFERROR(COUNTIFS('All Contacts'!$B:$B, "N/A", 'All Contacts'!$AB:$AB, "Cycle 3",'All Contacts'!Y:Y,"LQ")/M37,0)</f>
        <v>0</v>
      </c>
      <c r="P43" s="216">
        <f>IFERROR(1-Q43-R43,0)</f>
        <v>1</v>
      </c>
      <c r="Q43" s="217">
        <f>IFERROR(COUNTIFS('All Contacts'!$B:$B, "Y",'All Contacts'!Y:Y,"LQ")/P37,0)</f>
        <v>0</v>
      </c>
      <c r="R43" s="218">
        <f>IFERROR(COUNTIFS('All Contacts'!$B:$B, "N/A",'All Contacts'!Y:Y,"LQ")/P37,0)</f>
        <v>0</v>
      </c>
    </row>
    <row r="44" spans="2:18" ht="13.5" thickBot="1" x14ac:dyDescent="0.25">
      <c r="E44" s="12"/>
      <c r="G44" s="30"/>
      <c r="H44" s="30"/>
      <c r="I44" s="156"/>
      <c r="J44" s="30"/>
      <c r="L44" s="155"/>
      <c r="P44" s="30"/>
      <c r="Q44" s="30"/>
      <c r="R44" s="156"/>
    </row>
    <row r="45" spans="2:18" x14ac:dyDescent="0.2">
      <c r="E45" s="342" t="s">
        <v>399</v>
      </c>
      <c r="F45" s="162" t="s">
        <v>312</v>
      </c>
      <c r="G45" s="203">
        <f>IFERROR(COUNTIFS('All Contacts'!$J:$J, "Y", 'All Contacts'!$AB:$AB, "Cycle 1",'All Contacts'!Y:Y,"LQ")/G37,0)</f>
        <v>0</v>
      </c>
      <c r="H45" s="204">
        <f>IFERROR(COUNTIFS('All Contacts'!$J:$J, "", 'All Contacts'!$AB:$AB, "Cycle 1",'All Contacts'!Y:Y,"LQ")/G37,0)</f>
        <v>0</v>
      </c>
      <c r="I45" s="205">
        <f>IFERROR(COUNTIFS('All Contacts'!$J:$J, "N/A", 'All Contacts'!$AB:$AB, "Cycle 1",'All Contacts'!Y:Y,"LQ")/G37,0)</f>
        <v>0</v>
      </c>
      <c r="J45" s="203">
        <f>IFERROR(COUNTIFS('All Contacts'!$J:$J, "Y", 'All Contacts'!$AB:$AB, "Cycle 2",'All Contacts'!Y:Y,"LQ")/J37,0)</f>
        <v>0</v>
      </c>
      <c r="K45" s="204">
        <f>IFERROR(COUNTIFS('All Contacts'!$J:$J, "", 'All Contacts'!$AB:$AB, "Cycle 2",'All Contacts'!Y:Y,"LQ")/J37,0)</f>
        <v>0</v>
      </c>
      <c r="L45" s="205">
        <f>IFERROR(COUNTIFS('All Contacts'!$J:$J, "N/A", 'All Contacts'!$AB:$AB, "Cycle 2",'All Contacts'!Y:Y,"LQ")/J37,0)</f>
        <v>0</v>
      </c>
      <c r="M45" s="203">
        <f>IFERROR(COUNTIFS('All Contacts'!$J:$J, "Y", 'All Contacts'!$AB:$AB, "Cycle 3",'All Contacts'!Y:Y,"LQ")/M37,0)</f>
        <v>0</v>
      </c>
      <c r="N45" s="204">
        <f>IFERROR(COUNTIFS('All Contacts'!$J:$J, "", 'All Contacts'!$AB:$AB, "Cycle 3",'All Contacts'!Y:Y,"LQ")/M37,0)</f>
        <v>0</v>
      </c>
      <c r="O45" s="205">
        <f>IFERROR(COUNTIFS('All Contacts'!$J:$J, "N/A", 'All Contacts'!$AB:$AB, "Cycle 3",'All Contacts'!Y:Y,"LQ")/M37,0)</f>
        <v>0</v>
      </c>
      <c r="P45" s="203">
        <f>IFERROR(COUNTIFS('All Contacts'!$J:$J, "Y",'All Contacts'!Y:Y,"LQ")/P37,0)</f>
        <v>0</v>
      </c>
      <c r="Q45" s="204">
        <f>IFERROR(1-P45-R45,0)</f>
        <v>1</v>
      </c>
      <c r="R45" s="205">
        <f>IFERROR(COUNTIFS('All Contacts'!$J:$J, "N/A",'All Contacts'!Y:Y,"LQ")/P37,0)</f>
        <v>0</v>
      </c>
    </row>
    <row r="46" spans="2:18" ht="13.5" thickBot="1" x14ac:dyDescent="0.25">
      <c r="E46" s="344"/>
      <c r="F46" s="163" t="s">
        <v>314</v>
      </c>
      <c r="G46" s="206">
        <f>IFERROR(COUNTIFS('All Contacts'!$K:$K, "Y", 'All Contacts'!$AB:$AB, "Cycle 1",'All Contacts'!Y:Y,"LQ")/G37,0)</f>
        <v>0</v>
      </c>
      <c r="H46" s="207">
        <f>IFERROR(COUNTIFS('All Contacts'!$K:$K, "", 'All Contacts'!$AB:$AB, "Cycle 1",'All Contacts'!Y:Y,"LQ")/G37,0)</f>
        <v>0</v>
      </c>
      <c r="I46" s="208">
        <f>IFERROR(COUNTIFS('All Contacts'!$K:$K, "N/A", 'All Contacts'!$AB:$AB, "Cycle 1",'All Contacts'!Y:Y,"LQ")/G37,0)</f>
        <v>0</v>
      </c>
      <c r="J46" s="206">
        <f>IFERROR(COUNTIFS('All Contacts'!$K:$K, "Y", 'All Contacts'!$AB:$AB, "Cycle 2",'All Contacts'!Y:Y,"LQ")/J37,0)</f>
        <v>0</v>
      </c>
      <c r="K46" s="207">
        <f>IFERROR(COUNTIFS('All Contacts'!$K:$K, "", 'All Contacts'!$AB:$AB, "Cycle 2",'All Contacts'!Y:Y,"LQ")/J37,0)</f>
        <v>0</v>
      </c>
      <c r="L46" s="208">
        <f>IFERROR(COUNTIFS('All Contacts'!$K:$K, "N/A", 'All Contacts'!$AB:$AB, "Cycle 2",'All Contacts'!Y:Y,"LQ")/J37,0)</f>
        <v>0</v>
      </c>
      <c r="M46" s="206">
        <f>IFERROR(COUNTIFS('All Contacts'!$K:$K, "Y", 'All Contacts'!$AB:$AB, "Cycle 3",'All Contacts'!Y:Y,"LQ")/M37,0)</f>
        <v>0</v>
      </c>
      <c r="N46" s="207">
        <f>IFERROR(COUNTIFS('All Contacts'!$K:$K, "", 'All Contacts'!$AB:$AB, "Cycle 3",'All Contacts'!Y:Y,"LQ")/M37,0)</f>
        <v>0</v>
      </c>
      <c r="O46" s="208">
        <f>IFERROR(COUNTIFS('All Contacts'!$K:$K, "N/A", 'All Contacts'!$AB:$AB, "Cycle 3",'All Contacts'!Y:Y,"LQ")/M37,0)</f>
        <v>0</v>
      </c>
      <c r="P46" s="206">
        <f>IFERROR(COUNTIFS('All Contacts'!$K:$K, "Y",'All Contacts'!Y:Y,"LQ")/P37,0)</f>
        <v>0</v>
      </c>
      <c r="Q46" s="207">
        <f>IFERROR(1-P46-R46,0)</f>
        <v>1</v>
      </c>
      <c r="R46" s="208">
        <f>IFERROR(COUNTIFS('All Contacts'!$K:$K, "N/A",'All Contacts'!Y:Y,"LQ")/P37,0)</f>
        <v>0</v>
      </c>
    </row>
    <row r="47" spans="2:18" ht="13.5" thickBot="1" x14ac:dyDescent="0.25">
      <c r="E47" s="12"/>
      <c r="I47" s="153"/>
      <c r="L47" s="156"/>
      <c r="P47" s="148"/>
      <c r="Q47" s="148"/>
      <c r="R47" s="153"/>
    </row>
    <row r="48" spans="2:18" x14ac:dyDescent="0.2">
      <c r="E48" s="342" t="s">
        <v>400</v>
      </c>
      <c r="F48" s="162" t="s">
        <v>401</v>
      </c>
      <c r="G48" s="203">
        <f>IFERROR(COUNTIFS('All Contacts'!$L:$L, "Y", 'All Contacts'!$AB:$AB, "Cycle 1",'All Contacts'!Y:Y,"LQ")/G37,0)</f>
        <v>0</v>
      </c>
      <c r="H48" s="204">
        <f>IFERROR(COUNTIFS('All Contacts'!$L:$L, "", 'All Contacts'!$AB:$AB, "Cycle 1",'All Contacts'!Y:Y,"LQ")/G37,0)</f>
        <v>0</v>
      </c>
      <c r="I48" s="220">
        <f>IFERROR(COUNTIFS('All Contacts'!$L:$L, "N/A", 'All Contacts'!$AB:$AB, "Cycle 1",'All Contacts'!Y:Y,"LQ")/G37,0)</f>
        <v>0</v>
      </c>
      <c r="J48" s="203">
        <f>IFERROR(COUNTIFS('All Contacts'!$L:$L, "Y", 'All Contacts'!$AB:$AB, "Cycle 2",'All Contacts'!Y:Y,"LQ")/J37,0)</f>
        <v>0</v>
      </c>
      <c r="K48" s="204">
        <f>IFERROR(COUNTIFS('All Contacts'!$L:$L, "", 'All Contacts'!$AB:$AB, "Cycle 2",'All Contacts'!Y:Y,"LQ")/J37,0)</f>
        <v>0</v>
      </c>
      <c r="L48" s="220">
        <f>IFERROR(COUNTIFS('All Contacts'!$L:$L, "N/A", 'All Contacts'!$AB:$AB, "Cycle 2",'All Contacts'!Y:Y,"LQ")/J37,0)</f>
        <v>0</v>
      </c>
      <c r="M48" s="203">
        <f>IFERROR(COUNTIFS('All Contacts'!$L:$L, "Y", 'All Contacts'!$AB:$AB, "Cycle 3",'All Contacts'!Y:Y,"LQ")/M37,0)</f>
        <v>0</v>
      </c>
      <c r="N48" s="204">
        <f>IFERROR(COUNTIFS('All Contacts'!$L:$L, "", 'All Contacts'!$AB:$AB, "Cycle 3",'All Contacts'!Y:Y,"LQ")/M37,0)</f>
        <v>0</v>
      </c>
      <c r="O48" s="220">
        <f>IFERROR(COUNTIFS('All Contacts'!$L:$L, "N/A", 'All Contacts'!$AB:$AB, "Cycle 3",'All Contacts'!Y:Y,"LQ")/M37,0)</f>
        <v>0</v>
      </c>
      <c r="P48" s="203">
        <f>IFERROR(COUNTIFS('All Contacts'!$L:$L, "Y",'All Contacts'!Y:Y,"LQ")/P37,0)</f>
        <v>0</v>
      </c>
      <c r="Q48" s="204">
        <f>IFERROR(1-P48-R48,0)</f>
        <v>1</v>
      </c>
      <c r="R48" s="220">
        <f>IFERROR(COUNTIFS('All Contacts'!$L:$L, "N/A",'All Contacts'!Y:Y,"LQ")/P37,0)</f>
        <v>0</v>
      </c>
    </row>
    <row r="49" spans="5:19" ht="13.5" thickBot="1" x14ac:dyDescent="0.25">
      <c r="E49" s="344"/>
      <c r="F49" s="163" t="s">
        <v>294</v>
      </c>
      <c r="G49" s="206">
        <f>IFERROR(COUNTIFS('All Contacts'!$G:$G, "", 'All Contacts'!$AB:$AB, "Cycle 1",'All Contacts'!Y:Y,"LQ")/G37,0)</f>
        <v>0</v>
      </c>
      <c r="H49" s="207">
        <f>IFERROR(COUNTIFS('All Contacts'!$G:$G, "Y", 'All Contacts'!$AB:$AB, "Cycle 1",'All Contacts'!Y:Y,"LQ")/G37,0)</f>
        <v>0</v>
      </c>
      <c r="I49" s="221">
        <f>IFERROR(COUNTIFS('All Contacts'!$G:$G, "N/A", 'All Contacts'!$AB:$AB, "Cycle 1",'All Contacts'!Y:Y,"LQ")/G37,0)</f>
        <v>0</v>
      </c>
      <c r="J49" s="206">
        <f>IFERROR(COUNTIFS('All Contacts'!$G:$G, "", 'All Contacts'!$AB:$AB, "Cycle 2",'All Contacts'!Y:Y,"LQ")/J37,0)</f>
        <v>0</v>
      </c>
      <c r="K49" s="207">
        <f>IFERROR(COUNTIFS('All Contacts'!$G:$G, "Y", 'All Contacts'!$AB:$AB, "Cycle 2",'All Contacts'!Y:Y,"LQ")/J37,0)</f>
        <v>0</v>
      </c>
      <c r="L49" s="221">
        <f>IFERROR(COUNTIFS('All Contacts'!$G:$G, "N/A", 'All Contacts'!$AB:$AB, "Cycle 2",'All Contacts'!Y:Y,"LQ")/J37,0)</f>
        <v>0</v>
      </c>
      <c r="M49" s="206">
        <f>IFERROR(COUNTIFS('All Contacts'!$G:$G, "", 'All Contacts'!$AB:$AB, "Cycle 3",'All Contacts'!Y:Y,"LQ")/M37,0)</f>
        <v>0</v>
      </c>
      <c r="N49" s="207">
        <f>IFERROR(COUNTIFS('All Contacts'!$G:$G, "Y", 'All Contacts'!$AB:$AB, "Cycle 3",'All Contacts'!Y:Y,"LQ")/M37,0)</f>
        <v>0</v>
      </c>
      <c r="O49" s="221">
        <f>IFERROR(COUNTIFS('All Contacts'!$G:$G, "N/A", 'All Contacts'!$AB:$AB, "Cycle 3",'All Contacts'!Y:Y,"LQ")/M37,0)</f>
        <v>0</v>
      </c>
      <c r="P49" s="206">
        <f>IFERROR(1-Q49-R49,0)</f>
        <v>1</v>
      </c>
      <c r="Q49" s="207">
        <f>IFERROR(COUNTIFS('All Contacts'!$G:$G, "Y",'All Contacts'!Y:Y,"LQ")/P37,0)</f>
        <v>0</v>
      </c>
      <c r="R49" s="221">
        <f>IFERROR(COUNTIFS('All Contacts'!$G:$G, "N/A",'All Contacts'!Y:Y,"LQ")/P37,0)</f>
        <v>0</v>
      </c>
    </row>
    <row r="50" spans="5:19" ht="13.5" thickBot="1" x14ac:dyDescent="0.25">
      <c r="E50" s="12"/>
      <c r="I50" s="153"/>
      <c r="L50" s="153"/>
      <c r="P50" s="148"/>
      <c r="Q50" s="148"/>
      <c r="R50" s="153"/>
    </row>
    <row r="51" spans="5:19" x14ac:dyDescent="0.2">
      <c r="E51" s="342" t="s">
        <v>402</v>
      </c>
      <c r="F51" s="162" t="s">
        <v>306</v>
      </c>
      <c r="G51" s="203">
        <f>IFERROR((G37-(COUNTIFS('All Contacts'!$E:$E, "Y", 'All Contacts'!$AB:$AB, "Cycle 1",'All Contacts'!Y:Y,"LQ")+COUNTIFS('All Contacts'!$F:$F, "Y", 'All Contacts'!$AB:$AB, "Cycle 1",'All Contacts'!Y:Y,"LQ"))-(COUNTIFS('All Contacts'!$E:$E, "N/A", 'All Contacts'!$AB:$AB, "Cycle 1",'All Contacts'!Y:Y,"LQ")+COUNTIFS('All Contacts'!$F:$F, "N/A", 'All Contacts'!$AB:$AB, "Cycle 1",'All Contacts'!Y:Y,"LQ")))/G37,0)</f>
        <v>0</v>
      </c>
      <c r="H51" s="204">
        <f>IFERROR((COUNTIFS('All Contacts'!$E:$E, "Y", 'All Contacts'!$AB:$AB, "Cycle 1",'All Contacts'!Y:Y,"LQ")+COUNTIFS('All Contacts'!$F:$F, "Y", 'All Contacts'!$AB:$AB, "Cycle 1",'All Contacts'!Y:Y,"LQ"))/G37,0)</f>
        <v>0</v>
      </c>
      <c r="I51" s="220">
        <f>IFERROR((COUNTIFS('All Contacts'!$E:$E, "N/A", 'All Contacts'!$AB:$AB, "Cycle 1",'All Contacts'!Y:Y,"LQ")+COUNTIFS('All Contacts'!$F:$F, "N/A", 'All Contacts'!$AB:$AB, "Cycle 1",'All Contacts'!Y:Y,"LQ"))/G37,0)</f>
        <v>0</v>
      </c>
      <c r="J51" s="203">
        <f>IFERROR((J37-(COUNTIFS('All Contacts'!$E:$E, "Y", 'All Contacts'!$AB:$AB, "Cycle 2",'All Contacts'!Y:Y,"LQ")+COUNTIFS('All Contacts'!$F:$F, "Y", 'All Contacts'!$AB:$AB, "Cycle 2",'All Contacts'!Y:Y,"LQ"))-(COUNTIFS('All Contacts'!$E:$E, "N/A", 'All Contacts'!$AB:$AB, "Cycle 2",'All Contacts'!Y:Y,"LQ")+COUNTIFS('All Contacts'!$F:$F, "N/A", 'All Contacts'!$AB:$AB, "Cycle 2",'All Contacts'!Y:Y,"LQ")))/J37,0)</f>
        <v>0</v>
      </c>
      <c r="K51" s="204">
        <f>IFERROR((COUNTIFS('All Contacts'!$E:$E, "Y", 'All Contacts'!$AB:$AB, "Cycle 2",'All Contacts'!Y:Y,"LQ")+COUNTIFS('All Contacts'!$F:$F, "Y", 'All Contacts'!$AB:$AB, "Cycle 2",'All Contacts'!Y:Y,"LQ"))/J37,0)</f>
        <v>0</v>
      </c>
      <c r="L51" s="220">
        <f>IFERROR((COUNTIFS('All Contacts'!$E:$E, "N/A", 'All Contacts'!$AB:$AB, "Cycle 2",'All Contacts'!Y:Y,"LQ")+COUNTIFS('All Contacts'!$F:$F, "N/A", 'All Contacts'!$AB:$AB, "Cycle 2",'All Contacts'!Y:Y,"LQ"))/J37,0)</f>
        <v>0</v>
      </c>
      <c r="M51" s="203">
        <f>IFERROR((M37-(COUNTIFS('All Contacts'!$E:$E, "Y", 'All Contacts'!$AB:$AB, "Cycle 3",'All Contacts'!Y:Y,"LQ")+COUNTIFS('All Contacts'!$F:$F, "Y", 'All Contacts'!$AB:$AB, "Cycle 3",'All Contacts'!Y:Y,"LQ"))-(COUNTIFS('All Contacts'!$E:$E, "N/A", 'All Contacts'!$AB:$AB, "Cycle 3",'All Contacts'!Y:Y,"LQ")+COUNTIFS('All Contacts'!$F:$F, "N/A", 'All Contacts'!$AB:$AB, "Cycle 3",'All Contacts'!Y:Y,"LQ")))/M37,0)</f>
        <v>0</v>
      </c>
      <c r="N51" s="204">
        <f>IFERROR((COUNTIFS('All Contacts'!$E:$E, "Y", 'All Contacts'!$AB:$AB, "Cycle 3",'All Contacts'!Y:Y,"LQ")+COUNTIFS('All Contacts'!$F:$F, "Y", 'All Contacts'!$AB:$AB, "Cycle 3",'All Contacts'!Y:Y,"LQ"))/M37,0)</f>
        <v>0</v>
      </c>
      <c r="O51" s="220">
        <f>IFERROR((COUNTIFS('All Contacts'!$E:$E, "N/A", 'All Contacts'!$AB:$AB, "Cycle 3",'All Contacts'!Y:Y,"LQ")+COUNTIFS('All Contacts'!$F:$F, "N/A", 'All Contacts'!$AB:$AB, "Cycle 3",'All Contacts'!Y:Y,"LQ"))/M37,0)</f>
        <v>0</v>
      </c>
      <c r="P51" s="203">
        <f>IFERROR(1-Q51-R51,0)</f>
        <v>1</v>
      </c>
      <c r="Q51" s="204">
        <f>IFERROR((COUNTIFS('All Contacts'!$E:$E, "Y",'All Contacts'!Y:Y,"LQ")+COUNTIFS('All Contacts'!$F:$F, "Y",'All Contacts'!Y:Y,"LQ"))/P37,0)</f>
        <v>0</v>
      </c>
      <c r="R51" s="220">
        <f>IFERROR((COUNTIFS('All Contacts'!$E:$E, "N/A",'All Contacts'!Y:Y,"LQ")+COUNTIFS('All Contacts'!$F:$F, "N/A",'All Contacts'!Y:Y,"LQ"))/P37,0)</f>
        <v>0</v>
      </c>
    </row>
    <row r="52" spans="5:19" x14ac:dyDescent="0.2">
      <c r="E52" s="343"/>
      <c r="F52" s="159" t="s">
        <v>310</v>
      </c>
      <c r="G52" s="224">
        <f>IFERROR(COUNTIFS('All Contacts'!$M:$M, "Y", 'All Contacts'!$AB:$AB, "Cycle 1",'All Contacts'!Y:Y,"LQ")/G37,0)</f>
        <v>0</v>
      </c>
      <c r="H52" s="222">
        <f>IFERROR(COUNTIFS('All Contacts'!$M:$M, "", 'All Contacts'!$AB:$AB, "Cycle 1",'All Contacts'!Y:Y,"LQ")/G37,0)</f>
        <v>0</v>
      </c>
      <c r="I52" s="225">
        <f>IFERROR(COUNTIFS('All Contacts'!$M:$M, "n/a", 'All Contacts'!$AB:$AB, "Cycle 1",'All Contacts'!Y:Y,"LQ")/G37,0)</f>
        <v>0</v>
      </c>
      <c r="J52" s="224">
        <f>IFERROR(COUNTIFS('All Contacts'!$M:$M, "Y", 'All Contacts'!$AB:$AB, "Cycle 2",'All Contacts'!Y:Y,"LQ")/J37,0)</f>
        <v>0</v>
      </c>
      <c r="K52" s="222">
        <f>IFERROR(COUNTIFS('All Contacts'!$M:$M, "", 'All Contacts'!$AB:$AB, "Cycle 2",'All Contacts'!Y:Y,"LQ")/J37,0)</f>
        <v>0</v>
      </c>
      <c r="L52" s="225">
        <f>IFERROR(COUNTIFS('All Contacts'!$M:$M, "n/a", 'All Contacts'!$AB:$AB, "Cycle 2",'All Contacts'!Y:Y,"LQ")/J37,0)</f>
        <v>0</v>
      </c>
      <c r="M52" s="224">
        <f>IFERROR(COUNTIFS('All Contacts'!$M:$M, "Y", 'All Contacts'!$AB:$AB, "Cycle 3",'All Contacts'!Y:Y,"LQ")/M37,0)</f>
        <v>0</v>
      </c>
      <c r="N52" s="222">
        <f>IFERROR(COUNTIFS('All Contacts'!$M:$M, "", 'All Contacts'!$AB:$AB, "Cycle 3",'All Contacts'!Y:Y,"LQ")/M37,0)</f>
        <v>0</v>
      </c>
      <c r="O52" s="225">
        <f>IFERROR(COUNTIFS('All Contacts'!$M:$M, "n/a", 'All Contacts'!$AB:$AB, "Cycle 3",'All Contacts'!Y:Y,"LQ")/M37,0)</f>
        <v>0</v>
      </c>
      <c r="P52" s="224">
        <f>IFERROR(COUNTIFS('All Contacts'!$M:$M, "Y",'All Contacts'!Y:Y,"LQ")/P37,0)</f>
        <v>0</v>
      </c>
      <c r="Q52" s="222">
        <f>IFERROR(1-P52-R52,0)</f>
        <v>1</v>
      </c>
      <c r="R52" s="225">
        <f>IFERROR(COUNTIFS('All Contacts'!$M:$M, "n/a",'All Contacts'!Y:Y,"LQ")/P37,0)</f>
        <v>0</v>
      </c>
    </row>
    <row r="53" spans="5:19" x14ac:dyDescent="0.2">
      <c r="E53" s="343"/>
      <c r="F53" s="159" t="s">
        <v>318</v>
      </c>
      <c r="G53" s="224">
        <f>IFERROR(COUNTIFS('All Contacts'!$N:$N, "Y", 'All Contacts'!$AB:$AB, "Cycle 1",'All Contacts'!Y:Y,"LQ")/G37,0)</f>
        <v>0</v>
      </c>
      <c r="H53" s="222">
        <f>IFERROR(COUNTIFS('All Contacts'!$N:$N, "", 'All Contacts'!$AB:$AB, "Cycle 1",'All Contacts'!Y:Y,"LQ")/G37,0)</f>
        <v>0</v>
      </c>
      <c r="I53" s="225">
        <f>IFERROR(COUNTIFS('All Contacts'!$N:$N, "N/A", 'All Contacts'!$AB:$AB, "Cycle 1",'All Contacts'!Y:Y,"LQ")/G37,0)</f>
        <v>0</v>
      </c>
      <c r="J53" s="224">
        <f>IFERROR(COUNTIFS('All Contacts'!$N:$N, "Y", 'All Contacts'!$AB:$AB, "Cycle 2",'All Contacts'!Y:Y,"LQ")/J37,0)</f>
        <v>0</v>
      </c>
      <c r="K53" s="222">
        <f>IFERROR(COUNTIFS('All Contacts'!$N:$N, "", 'All Contacts'!$AB:$AB, "Cycle 2",'All Contacts'!Y:Y,"LQ")/J37,0)</f>
        <v>0</v>
      </c>
      <c r="L53" s="225">
        <f>IFERROR(COUNTIFS('All Contacts'!$N:$N, "N/A", 'All Contacts'!$AB:$AB, "Cycle 2",'All Contacts'!Y:Y,"LQ")/J37,0)</f>
        <v>0</v>
      </c>
      <c r="M53" s="224">
        <f>IFERROR(COUNTIFS('All Contacts'!$N:$N, "Y", 'All Contacts'!$AB:$AB, "Cycle 3",'All Contacts'!Y:Y,"LQ")/M37,0)</f>
        <v>0</v>
      </c>
      <c r="N53" s="222">
        <f>IFERROR(COUNTIFS('All Contacts'!$N:$N, "", 'All Contacts'!$AB:$AB, "Cycle 3",'All Contacts'!Y:Y,"LQ")/M37,0)</f>
        <v>0</v>
      </c>
      <c r="O53" s="225">
        <f>IFERROR(COUNTIFS('All Contacts'!$N:$N, "N/A", 'All Contacts'!$AB:$AB, "Cycle 3",'All Contacts'!Y:Y,"LQ")/M37,0)</f>
        <v>0</v>
      </c>
      <c r="P53" s="224">
        <f>IFERROR(COUNTIFS('All Contacts'!$N:$N, "Y",'All Contacts'!Y:Y,"LQ")/P37,0)</f>
        <v>0</v>
      </c>
      <c r="Q53" s="222">
        <f>IFERROR(1-P53-R53,0)</f>
        <v>1</v>
      </c>
      <c r="R53" s="225">
        <f>IFERROR(COUNTIFS('All Contacts'!$N:$N, "N/A",'All Contacts'!Y:Y,"LQ")/P37,0)</f>
        <v>0</v>
      </c>
    </row>
    <row r="54" spans="5:19" ht="13.5" thickBot="1" x14ac:dyDescent="0.25">
      <c r="E54" s="344"/>
      <c r="F54" s="163" t="s">
        <v>322</v>
      </c>
      <c r="G54" s="206">
        <f>IFERROR(COUNTIFS('All Contacts'!$O:$O, "Y", 'All Contacts'!$AB:$AB, "Cycle 1",'All Contacts'!Y:Y,"LQ")/G37,0)</f>
        <v>0</v>
      </c>
      <c r="H54" s="207">
        <f>IFERROR(COUNTIFS('All Contacts'!$O:$O, "", 'All Contacts'!$AB:$AB, "Cycle 1",'All Contacts'!Y:Y,"LQ")/G37,0)</f>
        <v>0</v>
      </c>
      <c r="I54" s="221">
        <f>IFERROR(COUNTIFS('All Contacts'!$O:$O, "N/A", 'All Contacts'!$AB:$AB, "Cycle 1",'All Contacts'!Y:Y,"LQ")/G37,0)</f>
        <v>0</v>
      </c>
      <c r="J54" s="206">
        <f>IFERROR(COUNTIFS('All Contacts'!$O:$O, "Y", 'All Contacts'!$AB:$AB, "Cycle 2",'All Contacts'!Y:Y,"LQ")/J37,0)</f>
        <v>0</v>
      </c>
      <c r="K54" s="207">
        <f>IFERROR(COUNTIFS('All Contacts'!$O:$O, "", 'All Contacts'!$AB:$AB, "Cycle 2",'All Contacts'!Y:Y,"LQ")/J37,0)</f>
        <v>0</v>
      </c>
      <c r="L54" s="221">
        <f>IFERROR(COUNTIFS('All Contacts'!$O:$O, "N/A", 'All Contacts'!$AB:$AB, "Cycle 2",'All Contacts'!Y:Y,"LQ")/J37,0)</f>
        <v>0</v>
      </c>
      <c r="M54" s="206">
        <f>IFERROR(COUNTIFS('All Contacts'!$O:$O, "Y", 'All Contacts'!$AB:$AB, "Cycle 3",'All Contacts'!Y:Y,"LQ")/M37,0)</f>
        <v>0</v>
      </c>
      <c r="N54" s="207">
        <f>IFERROR(COUNTIFS('All Contacts'!$O:$O, "", 'All Contacts'!$AB:$AB, "Cycle 3",'All Contacts'!Y:Y,"LQ")/M37,0)</f>
        <v>0</v>
      </c>
      <c r="O54" s="221">
        <f>IFERROR(COUNTIFS('All Contacts'!$O:$O, "N/A", 'All Contacts'!$AB:$AB, "Cycle 3",'All Contacts'!Y:Y,"LQ")/M37,0)</f>
        <v>0</v>
      </c>
      <c r="P54" s="206">
        <f>IFERROR(COUNTIFS('All Contacts'!$O:$O, "Y",'All Contacts'!Y:Y,"LQ")/P37,0)</f>
        <v>0</v>
      </c>
      <c r="Q54" s="207">
        <f>IFERROR(1-P54-R54,0)</f>
        <v>1</v>
      </c>
      <c r="R54" s="221">
        <f>IFERROR(COUNTIFS('All Contacts'!$O:$O, "N/A",'All Contacts'!Y:Y,"LQ")/P37,0)</f>
        <v>0</v>
      </c>
    </row>
    <row r="55" spans="5:19" ht="13.5" thickBot="1" x14ac:dyDescent="0.25">
      <c r="E55" s="12"/>
      <c r="I55" s="153"/>
      <c r="L55" s="153"/>
      <c r="P55" s="148"/>
      <c r="Q55" s="148"/>
      <c r="R55" s="153"/>
    </row>
    <row r="56" spans="5:19" x14ac:dyDescent="0.2">
      <c r="E56" s="342" t="s">
        <v>403</v>
      </c>
      <c r="F56" s="162" t="s">
        <v>319</v>
      </c>
      <c r="G56" s="203">
        <f>IFERROR(COUNTIFS('All Contacts'!$P:$P, "Y", 'All Contacts'!$AB:$AB, "Cycle 1",'All Contacts'!Y:Y,"LQ")/G37,0)</f>
        <v>0</v>
      </c>
      <c r="H56" s="204">
        <f>IFERROR(COUNTIFS('All Contacts'!$P:$P, "", 'All Contacts'!$AB:$AB, "Cycle 1",'All Contacts'!Y:Y,"LQ")/G37,0)</f>
        <v>0</v>
      </c>
      <c r="I56" s="220">
        <f>IFERROR(COUNTIFS('All Contacts'!$P:$P, "N/A", 'All Contacts'!$AB:$AB, "Cycle 1",'All Contacts'!Y:Y,"LQ")/G37,0)</f>
        <v>0</v>
      </c>
      <c r="J56" s="203">
        <f>IFERROR(COUNTIFS('All Contacts'!$P:$P, "Y", 'All Contacts'!$AB:$AB, "Cycle 2",'All Contacts'!Y:Y,"LQ")/J37,0)</f>
        <v>0</v>
      </c>
      <c r="K56" s="204">
        <f>IFERROR(COUNTIFS('All Contacts'!$P:$P, "", 'All Contacts'!$AB:$AB, "Cycle 2")/J37,0)</f>
        <v>0</v>
      </c>
      <c r="L56" s="220">
        <f>IFERROR(COUNTIFS('All Contacts'!$P:$P, "N/A", 'All Contacts'!$AB:$AB, "Cycle 2")/J37,0)</f>
        <v>0</v>
      </c>
      <c r="M56" s="203">
        <f>IFERROR(COUNTIFS('All Contacts'!$P:$P, "Y", 'All Contacts'!$AB:$AB, "Cycle 3",'All Contacts'!Y:Y,"LQ")/M37,0)</f>
        <v>0</v>
      </c>
      <c r="N56" s="204">
        <f>IFERROR(COUNTIFS('All Contacts'!$P:$P, "", 'All Contacts'!$AB:$AB, "Cycle 3",'All Contacts'!Y:Y,"LQ")/M37,0)</f>
        <v>0</v>
      </c>
      <c r="O56" s="220">
        <f>IFERROR(COUNTIFS('All Contacts'!$P:$P, "N/A", 'All Contacts'!$AB:$AB, "Cycle 3",'All Contacts'!Y:Y,"LQ")/M37,0)</f>
        <v>0</v>
      </c>
      <c r="P56" s="203">
        <f>IFERROR(COUNTIFS('All Contacts'!$P:$P, "Y",'All Contacts'!Y:Y,"LQ")/P37,0)</f>
        <v>0</v>
      </c>
      <c r="Q56" s="204">
        <f>IFERROR(1-P56-R56,0)</f>
        <v>1</v>
      </c>
      <c r="R56" s="220">
        <f>IFERROR(COUNTIFS('All Contacts'!$P:$P, "N/A",'All Contacts'!Y:Y,"LQ")/P37,0)</f>
        <v>0</v>
      </c>
    </row>
    <row r="57" spans="5:19" x14ac:dyDescent="0.2">
      <c r="E57" s="343"/>
      <c r="F57" s="159" t="s">
        <v>320</v>
      </c>
      <c r="G57" s="224">
        <f>IFERROR(COUNTIFS('All Contacts'!$R:$R, "Y", 'All Contacts'!$AB:$AB, "Cycle 1",'All Contacts'!Y:Y,"LQ")/G37,0)</f>
        <v>0</v>
      </c>
      <c r="H57" s="222">
        <f>IFERROR(COUNTIFS('All Contacts'!$R:$R, "", 'All Contacts'!$AB:$AB, "Cycle 1",'All Contacts'!Y:Y,"LQ")/G37,0)</f>
        <v>0</v>
      </c>
      <c r="I57" s="225">
        <f>IFERROR(COUNTIFS('All Contacts'!$R:$R, "N/A", 'All Contacts'!$AB:$AB, "Cycle 1",'All Contacts'!Y:Y,"LQ")/G37,0)</f>
        <v>0</v>
      </c>
      <c r="J57" s="224">
        <f>IFERROR(COUNTIFS('All Contacts'!$R:$R, "Y", 'All Contacts'!$AB:$AB, "Cycle 2",'All Contacts'!Y:Y,"LQ")/J37,0)</f>
        <v>0</v>
      </c>
      <c r="K57" s="222">
        <f>IFERROR(COUNTIFS('All Contacts'!$R:$R, "", 'All Contacts'!$AB:$AB, "Cycle 2",'All Contacts'!Y:Y,"LQ")/J37,0)</f>
        <v>0</v>
      </c>
      <c r="L57" s="225">
        <f>IFERROR(COUNTIFS('All Contacts'!$R:$R, "N/A", 'All Contacts'!$AB:$AB, "Cycle 2",'All Contacts'!Y:Y,"LQ")/J37,0)</f>
        <v>0</v>
      </c>
      <c r="M57" s="224">
        <f>IFERROR(COUNTIFS('All Contacts'!$R:$R, "Y", 'All Contacts'!$AB:$AB, "Cycle 3",'All Contacts'!Y:Y,"LQ")/M37,0)</f>
        <v>0</v>
      </c>
      <c r="N57" s="222">
        <f>IFERROR(COUNTIFS('All Contacts'!$R:$R, "", 'All Contacts'!$AB:$AB, "Cycle 3",'All Contacts'!Y:Y,"LQ")/M37,0)</f>
        <v>0</v>
      </c>
      <c r="O57" s="225">
        <f>IFERROR(COUNTIFS('All Contacts'!$R:$R, "N/A", 'All Contacts'!$AB:$AB, "Cycle 3",'All Contacts'!Y:Y,"LQ")/M37,0)</f>
        <v>0</v>
      </c>
      <c r="P57" s="224">
        <f>IFERROR(COUNTIFS('All Contacts'!$R:$R, "Y",'All Contacts'!Y:Y,"LQ")/P37,0)</f>
        <v>0</v>
      </c>
      <c r="Q57" s="222">
        <f>IFERROR(1-P57-R57,0)</f>
        <v>1</v>
      </c>
      <c r="R57" s="225">
        <f>IFERROR(COUNTIFS('All Contacts'!$R:$R, "N/A",'All Contacts'!Y:Y,"LQ")/P37,0)</f>
        <v>0</v>
      </c>
    </row>
    <row r="58" spans="5:19" ht="13.5" thickBot="1" x14ac:dyDescent="0.25">
      <c r="E58" s="344"/>
      <c r="F58" s="163" t="s">
        <v>321</v>
      </c>
      <c r="G58" s="206">
        <f>IFERROR(COUNTIFS('All Contacts'!$Q:$Q, "Y", 'All Contacts'!$AB:$AB, "Cycle 1",'All Contacts'!Y:Y,"LQ")/G37,0)</f>
        <v>0</v>
      </c>
      <c r="H58" s="207">
        <f>IFERROR(COUNTIFS('All Contacts'!$Q:$Q, "", 'All Contacts'!$AB:$AB, "Cycle 1",'All Contacts'!Y:Y,"LQ")/G37,0)</f>
        <v>0</v>
      </c>
      <c r="I58" s="221">
        <f>IFERROR(COUNTIFS('All Contacts'!$Q:$Q, "N/A", 'All Contacts'!$AB:$AB, "Cycle 1",'All Contacts'!Y:Y,"LQ")/G37,0)</f>
        <v>0</v>
      </c>
      <c r="J58" s="206">
        <f>IFERROR(COUNTIFS('All Contacts'!$Q:$Q, "Y", 'All Contacts'!$AB:$AB, "Cycle 2",'All Contacts'!Y:Y,"LQ")/J37,0)</f>
        <v>0</v>
      </c>
      <c r="K58" s="207">
        <f>IFERROR(COUNTIFS('All Contacts'!$Q:$Q, "", 'All Contacts'!$AB:$AB, "Cycle 2",'All Contacts'!Y:Y,"LQ")/J37,0)</f>
        <v>0</v>
      </c>
      <c r="L58" s="221">
        <f>IFERROR(COUNTIFS('All Contacts'!$Q:$Q, "N/A", 'All Contacts'!$AB:$AB, "Cycle 2",'All Contacts'!Y:Y,"LQ")/J37,0)</f>
        <v>0</v>
      </c>
      <c r="M58" s="206">
        <f>IFERROR(COUNTIFS('All Contacts'!$Q:$Q, "Y", 'All Contacts'!$AB:$AB, "Cycle 3",'All Contacts'!Y:Y,"LQ")/M37,0)</f>
        <v>0</v>
      </c>
      <c r="N58" s="207">
        <f>IFERROR(COUNTIFS('All Contacts'!$Q:$Q, "", 'All Contacts'!$AB:$AB, "Cycle 3",'All Contacts'!Y:Y,"LQ")/M37,0)</f>
        <v>0</v>
      </c>
      <c r="O58" s="221">
        <f>IFERROR(COUNTIFS('All Contacts'!$Q:$Q, "N/A", 'All Contacts'!$AB:$AB, "Cycle 3",'All Contacts'!Y:Y,"LQ")/M37,0)</f>
        <v>0</v>
      </c>
      <c r="P58" s="206">
        <f>IFERROR(COUNTIFS('All Contacts'!$Q:$Q, "Y",'All Contacts'!Y:Y,"LQ")/P37,0)</f>
        <v>0</v>
      </c>
      <c r="Q58" s="207">
        <f>IFERROR(1-P58-R58,0)</f>
        <v>1</v>
      </c>
      <c r="R58" s="221">
        <f>IFERROR(COUNTIFS('All Contacts'!$Q:$Q, "N/A",'All Contacts'!Y:Y,"LQ")/P37,0)</f>
        <v>0</v>
      </c>
    </row>
    <row r="59" spans="5:19" ht="13.5" thickBot="1" x14ac:dyDescent="0.25">
      <c r="E59" s="12"/>
      <c r="G59" s="243">
        <f>COUNTIFS('All Contacts'!AB:AB,"Cycle 1",'All Contacts'!A:A,"Call",'All Contacts'!Y:Y,"LQ")+COUNTIFS('All Contacts'!AB:AB,"Cycle 1",'All Contacts'!A:A,"Chat",'All Contacts'!Y:Y,"LQ")</f>
        <v>0</v>
      </c>
      <c r="H59" s="243">
        <f>COUNTIFS('All Contacts'!AB:AB,"Cycle 1",'All Contacts'!A:A,"Email",'All Contacts'!Y:Y,"LQ")+COUNTIFS('All Contacts'!AB:AB,"Cycle 1",'All Contacts'!A:A,"Chat",'All Contacts'!Y:Y,"LQ")</f>
        <v>0</v>
      </c>
      <c r="I59" s="237"/>
      <c r="J59" s="244">
        <f>COUNTIFS('All Contacts'!AB:AB,"Cycle 2",'All Contacts'!A:A,"Call",'All Contacts'!Y:Y,"LQ")+COUNTIFS('All Contacts'!AB:AB,"Cycle 2",'All Contacts'!A:A,"Chat",'All Contacts'!Y:Y,"LQ")</f>
        <v>0</v>
      </c>
      <c r="K59" s="244">
        <f>COUNTIFS('All Contacts'!AB:AB,"Cycle 2",'All Contacts'!A:A,"Email",'All Contacts'!Y:Y,"LQ")+COUNTIFS('All Contacts'!AB:AB,"Cycle 2",'All Contacts'!A:A,"Chat",'All Contacts'!Y:Y,"LQ")</f>
        <v>0</v>
      </c>
      <c r="L59" s="237"/>
      <c r="M59" s="243">
        <f>COUNTIFS('All Contacts'!AB:AB,"Cycle 3",'All Contacts'!A:A,"Call",'All Contacts'!Y:Y,"LQ")+COUNTIFS('All Contacts'!AB:AB,"Cycle 3",'All Contacts'!A:A,"Chat",'All Contacts'!Y:Y,"LQ")</f>
        <v>0</v>
      </c>
      <c r="N59" s="243">
        <f>COUNTIFS('All Contacts'!AB:AB,"Cycle 3",'All Contacts'!A:A,"Email",'All Contacts'!Y:Y,"LQ")+COUNTIFS('All Contacts'!AB:AB,"Cycle 3",'All Contacts'!A:A,"Chat",'All Contacts'!Y:Y,"LQ")</f>
        <v>0</v>
      </c>
      <c r="O59" s="237"/>
      <c r="P59" s="243">
        <f>COUNTIFS('All Contacts'!A:A,"Call",'All Contacts'!Y:Y,"LQ")+COUNTIFS('All Contacts'!A:A,"Chat",'All Contacts'!Y:Y,"LQ")</f>
        <v>0</v>
      </c>
      <c r="Q59" s="243">
        <f>COUNTIFS('All Contacts'!A:A,"Email",'All Contacts'!Y:Y,"LQ")+COUNTIFS('All Contacts'!A:A,"Chat",'All Contacts'!Y:Y,"LQ")</f>
        <v>0</v>
      </c>
      <c r="R59" s="237"/>
      <c r="S59" s="27"/>
    </row>
    <row r="60" spans="5:19" x14ac:dyDescent="0.2">
      <c r="E60" s="342" t="s">
        <v>404</v>
      </c>
      <c r="F60" s="193" t="s">
        <v>325</v>
      </c>
      <c r="G60" s="203">
        <f>IFERROR((COUNTIFS('All Contacts'!$T:$T, "Y", 'All Contacts'!$AB:$AB, "Cycle 1",'All Contacts'!$A:$A,"Call",'All Contacts'!Y:Y,"LQ")+COUNTIFS('All Contacts'!$T:$T, "Y", 'All Contacts'!$AB:$AB, "Cycle 1",'All Contacts'!$A:$A,"Chat",'All Contacts'!Y:Y,"LQ"))/G59,0)</f>
        <v>0</v>
      </c>
      <c r="H60" s="204">
        <f>IFERROR((COUNTIFS('All Contacts'!$T:$T, "", 'All Contacts'!$AB:$AB, "Cycle 1",'All Contacts'!$A:$A,"Call",'All Contacts'!Y:Y,"LQ")+COUNTIFS('All Contacts'!$T:$T, "", 'All Contacts'!$AB:$AB, "Cycle 1",'All Contacts'!$A:$A,"Chat",'All Contacts'!Y:Y,"LQ"))/G59,0)</f>
        <v>0</v>
      </c>
      <c r="I60" s="220">
        <f>IFERROR((COUNTIFS('All Contacts'!$T:$T, "N/A", 'All Contacts'!$AB:$AB, "Cycle 1",'All Contacts'!$A:$A,"Call",'All Contacts'!Y:Y,"LQ")+COUNTIFS('All Contacts'!$T:$T, "N/A", 'All Contacts'!$AB:$AB, "Cycle 1",'All Contacts'!$A:$A,"Chat",'All Contacts'!Y:Y,"LQ"))/G59,0)</f>
        <v>0</v>
      </c>
      <c r="J60" s="203">
        <f>IFERROR((COUNTIFS('All Contacts'!$T:$T, "Y", 'All Contacts'!$AB:$AB, "Cycle 2",'All Contacts'!$A:$A,"Call",'All Contacts'!Y:Y,"LQ")+COUNTIFS('All Contacts'!$T:$T, "Y", 'All Contacts'!$AB:$AB, "Cycle 2",'All Contacts'!$A:$A,"Chat",'All Contacts'!Y:Y,"LQ"))/J59,0)</f>
        <v>0</v>
      </c>
      <c r="K60" s="204">
        <f>IFERROR((COUNTIFS('All Contacts'!$T:$T, "", 'All Contacts'!$AB:$AB, "Cycle 2",'All Contacts'!$A:$A,"Call",'All Contacts'!Y:Y,"LQ")+COUNTIFS('All Contacts'!$T:$T, "", 'All Contacts'!$AB:$AB, "Cycle 2",'All Contacts'!$A:$A,"Chat",'All Contacts'!Y:Y,"LQ"))/J59,0)</f>
        <v>0</v>
      </c>
      <c r="L60" s="220">
        <f>IFERROR((COUNTIFS('All Contacts'!$T:$T, "N/A", 'All Contacts'!$AB:$AB, "Cycle 2",'All Contacts'!$A:$A,"Call")+COUNTIFS('All Contacts'!$T:$T, "N/A", 'All Contacts'!$AB:$AB, "Cycle 2",'All Contacts'!$A:$A,"Chat"))/J59,0)</f>
        <v>0</v>
      </c>
      <c r="M60" s="203">
        <f>IFERROR((COUNTIFS('All Contacts'!$T:$T, "Y", 'All Contacts'!$AB:$AB, "Cycle 3",'All Contacts'!$A:$A,"Call",'All Contacts'!Y:Y,"LQ")+COUNTIFS('All Contacts'!$T:$T, "Y", 'All Contacts'!$AB:$AB, "Cycle 3",'All Contacts'!$A:$A,"Chat",'All Contacts'!Y:Y,"LQ"))/M59,0)</f>
        <v>0</v>
      </c>
      <c r="N60" s="204">
        <f>IFERROR((COUNTIFS('All Contacts'!$T:$T, "", 'All Contacts'!$AB:$AB, "Cycle 3",'All Contacts'!$A:$A,"Call",'All Contacts'!Y:Y,"LQ")+COUNTIFS('All Contacts'!$T:$T, "", 'All Contacts'!$AB:$AB, "Cycle 3",'All Contacts'!$A:$A,"Chat",'All Contacts'!Y:Y,"LQ"))/M59,0)</f>
        <v>0</v>
      </c>
      <c r="O60" s="220">
        <f>IFERROR((COUNTIFS('All Contacts'!$T:$T, "N/A", 'All Contacts'!$AB:$AB, "Cycle 3",'All Contacts'!$A:$A,"Call",'All Contacts'!Y:Y,"LQ")+COUNTIFS('All Contacts'!$T:$T, "N/A", 'All Contacts'!$AB:$AB, "Cycle 3",'All Contacts'!$A:$A,"Chat",'All Contacts'!Y:Y,"LQ"))/M59,0)</f>
        <v>0</v>
      </c>
      <c r="P60" s="203">
        <f>IFERROR((COUNTIFS('All Contacts'!$T:$T, "Y",'All Contacts'!$A:$A,"Call",'All Contacts'!Y:Y,"LQ")+COUNTIFS('All Contacts'!$T:$T, "Y",'All Contacts'!$A:$A,"Chat",'All Contacts'!Y:Y,"LQ"))/P59,0)</f>
        <v>0</v>
      </c>
      <c r="Q60" s="204">
        <f>IFERROR((COUNTIFS('All Contacts'!$T:$T, "",'All Contacts'!$A:$A,"Call",'All Contacts'!Y:Y,"LQ")+COUNTIFS('All Contacts'!$T:$T, "",'All Contacts'!$A:$A,"Chat",'All Contacts'!Y:Y,"LQ"))/P59,0)</f>
        <v>0</v>
      </c>
      <c r="R60" s="220">
        <f>IFERROR((COUNTIFS('All Contacts'!$T:$T, "N/A",'All Contacts'!$A:$A,"Call",'All Contacts'!Y:Y,"LQ")+COUNTIFS('All Contacts'!$T:$T, "N/A",'All Contacts'!$A:$A,"Chat",'All Contacts'!Y:Y,"LQ"))/P59,0)</f>
        <v>0</v>
      </c>
      <c r="S60" s="28"/>
    </row>
    <row r="61" spans="5:19" x14ac:dyDescent="0.2">
      <c r="E61" s="343"/>
      <c r="F61" s="194" t="s">
        <v>297</v>
      </c>
      <c r="G61" s="224">
        <f>IFERROR(1-H61-I61,0)</f>
        <v>1</v>
      </c>
      <c r="H61" s="222">
        <f>IFERROR(IF((COUNTIFS('All Contacts'!$I:$I, "", 'All Contacts'!$AB:$AB, "Cycle 2",'All Contacts'!Y:Y,"LQ")+COUNTIFS('All Contacts'!$S:$S, "", 'All Contacts'!$AB:$AB, "Cycle 2",'All Contacts'!Y:Y,"LQ"))/G37&gt;1,1,(COUNTIFS('All Contacts'!$I:$I, "", 'All Contacts'!$AB:$AB, "Cycle 2",'All Contacts'!Y:Y,"LQ")+COUNTIFS('All Contacts'!$S:$S, "", 'All Contacts'!$AB:$AB, "Cycle 2",'All Contacts'!Y:Y,"LQ"))/G37),0)</f>
        <v>0</v>
      </c>
      <c r="I61" s="225">
        <f>IFERROR((COUNTIFS('All Contacts'!$I:$I, "N/A", 'All Contacts'!$AB:$AB, "Cycle 1",'All Contacts'!Y:Y,"LQ")+COUNTIFS('All Contacts'!$S:$S, "N/A", 'All Contacts'!$AB:$AB, "Cycle 1",'All Contacts'!Y:Y,"LQ"))/G37,0)</f>
        <v>0</v>
      </c>
      <c r="J61" s="224">
        <f>IFERROR(1-K61-L61,0)</f>
        <v>1</v>
      </c>
      <c r="K61" s="222">
        <f>IFERROR(IF((COUNTIFS('All Contacts'!$I:$I, "", 'All Contacts'!$AB:$AB, "Cycle 2",'All Contacts'!Y:Y,"LQ")+COUNTIFS('All Contacts'!$S:$S, "", 'All Contacts'!$AB:$AB, "Cycle 2",'All Contacts'!Y:Y,"LQ"))/J37&gt;1,1,(COUNTIFS('All Contacts'!$I:$I, "", 'All Contacts'!$AB:$AB, "Cycle 2",'All Contacts'!Y:Y,"LQ")+COUNTIFS('All Contacts'!$S:$S, "", 'All Contacts'!$AB:$AB, "Cycle 2",'All Contacts'!Y:Y,"LQ"))/J37),0)</f>
        <v>0</v>
      </c>
      <c r="L61" s="225">
        <f>IFERROR((COUNTIFS('All Contacts'!$I:$I, "N/A", 'All Contacts'!$AB:$AB, "Cycle 2",'All Contacts'!Y:Y,"LQ")+COUNTIFS('All Contacts'!$S:$S, "N/A", 'All Contacts'!$AB:$AB, "Cycle 2",'All Contacts'!Y:Y,"LQ"))/J37,0)</f>
        <v>0</v>
      </c>
      <c r="M61" s="224">
        <f>IFERROR(1-N61-O61,0)</f>
        <v>1</v>
      </c>
      <c r="N61" s="222">
        <f>IFERROR(IF((COUNTIFS('All Contacts'!$I:$I, "", 'All Contacts'!$AB:$AB, "Cycle 3",'All Contacts'!Y:Y,"LQ")+COUNTIFS('All Contacts'!$S:$S, "", 'All Contacts'!$AB:$AB, "Cycle 3",'All Contacts'!Y:Y,"LQ"))/M37&gt;1,1,(COUNTIFS('All Contacts'!$I:$I, "", 'All Contacts'!$AB:$AB, "Cycle 3",'All Contacts'!Y:Y,"LQ")+COUNTIFS('All Contacts'!$S:$S, "", 'All Contacts'!$AB:$AB, "Cycle 3",'All Contacts'!Y:Y,"LQ"))/M37),0)</f>
        <v>0</v>
      </c>
      <c r="O61" s="225">
        <f>IFERROR((COUNTIFS('All Contacts'!$I:$I, "N/A", 'All Contacts'!$AB:$AB, "Cycle 3",'All Contacts'!Y:Y,"LQ")+COUNTIFS('All Contacts'!$S:$S, "N/A", 'All Contacts'!$AB:$AB, "Cycle 3",'All Contacts'!Y:Y,"LQ"))/M37,0)</f>
        <v>0</v>
      </c>
      <c r="P61" s="224">
        <f>IFERROR(1-Q61-R61,0)</f>
        <v>1</v>
      </c>
      <c r="Q61" s="222">
        <f>IFERROR(IF((COUNTIFS('All Contacts'!$I:$I,"",'All Contacts'!A:A,"&lt;&gt;",'All Contacts'!Y:Y,"LQ")+COUNTIFS('All Contacts'!$S:$S,"",'All Contacts'!A:A,"&lt;&gt;",'All Contacts'!Y:Y,"LQ"))/P37&gt;1,1,(COUNTIFS('All Contacts'!$I:$I,"",'All Contacts'!A:A,"&lt;&gt;",'All Contacts'!Y:Y,"LQ")+COUNTIFS('All Contacts'!$S:$S,"",'All Contacts'!A:A,"&lt;&gt;",'All Contacts'!Y:Y,"LQ"))/P37),0)</f>
        <v>0</v>
      </c>
      <c r="R61" s="225">
        <f>IFERROR((COUNTIFS('All Contacts'!$I:$I, "N/A",'All Contacts'!Y:Y,"LQ")+COUNTIFS('All Contacts'!$S:$S, "N/A",'All Contacts'!Y:Y,"LQ"))/P37,0)</f>
        <v>0</v>
      </c>
      <c r="S61" s="30"/>
    </row>
    <row r="62" spans="5:19" ht="13.5" thickBot="1" x14ac:dyDescent="0.25">
      <c r="E62" s="344"/>
      <c r="F62" s="195" t="s">
        <v>323</v>
      </c>
      <c r="G62" s="206">
        <f>IFERROR((COUNTIFS('All Contacts'!$U:$U, "Y", 'All Contacts'!$AB:$AB, "Cycle 1",'All Contacts'!$A:$A,"Chat",'All Contacts'!Y:Y,"LQ")+COUNTIFS('All Contacts'!$V:$V, "Y", 'All Contacts'!$AB:$AB, "Cycle 1",'All Contacts'!$A:$A,"Email",'All Contacts'!Y:Y,"LQ"))/H59,0)</f>
        <v>0</v>
      </c>
      <c r="H62" s="207">
        <f>IFERROR((COUNTIFS('All Contacts'!$U:$U, "", 'All Contacts'!$AB:$AB, "Cycle 1",'All Contacts'!$A:$A,"Chat",'All Contacts'!Y:Y,"LQ")+COUNTIFS('All Contacts'!$V:$V, "", 'All Contacts'!$AB:$AB, "Cycle 1",'All Contacts'!$A:$A,"Email",'All Contacts'!Y:Y,"LQ"))/H59,0)</f>
        <v>0</v>
      </c>
      <c r="I62" s="221">
        <f>IFERROR((COUNTIFS('All Contacts'!$U:$U, "N/A", 'All Contacts'!$AB:$AB, "Cycle 1",'All Contacts'!$A:$A,"Chat",'All Contacts'!Y:Y,"LQ")+COUNTIFS('All Contacts'!$V:$V, "N/A", 'All Contacts'!$AB:$AB, "Cycle 1",'All Contacts'!$A:$A,"Email",'All Contacts'!Y:Y,"LQ"))/H59,0)</f>
        <v>0</v>
      </c>
      <c r="J62" s="206">
        <f>IFERROR((COUNTIFS('All Contacts'!$U:$U, "Y", 'All Contacts'!$AB:$AB, "Cycle 2",'All Contacts'!$A:$A,"Chat",'All Contacts'!Y:Y,"LQ")+COUNTIFS('All Contacts'!$V:$V, "Y", 'All Contacts'!$AB:$AB, "Cycle 2",'All Contacts'!$A:$A,"Email",'All Contacts'!Y:Y,"LQ"))/K59,0)</f>
        <v>0</v>
      </c>
      <c r="K62" s="207">
        <f>IFERROR((COUNTIFS('All Contacts'!$U:$U, "", 'All Contacts'!$AB:$AB, "Cycle 2",'All Contacts'!$A:$A,"Chat",'All Contacts'!Y:Y,"LQ")+COUNTIFS('All Contacts'!$V:$V, "", 'All Contacts'!$AB:$AB, "Cycle 2",'All Contacts'!$A:$A,"Email",'All Contacts'!Y:Y,"LQ"))/K59,0)</f>
        <v>0</v>
      </c>
      <c r="L62" s="221">
        <f>IFERROR((COUNTIFS('All Contacts'!$U:$U, "N/A", 'All Contacts'!$AB:$AB, "Cycle 2",'All Contacts'!$A:$A,"Chat",'All Contacts'!Y:Y,"LQ")+COUNTIFS('All Contacts'!$V:$V, "N/A", 'All Contacts'!$AB:$AB, "Cycle 2",'All Contacts'!$A:$A,"Email",'All Contacts'!Y:Y,"LQ"))/K59,0)</f>
        <v>0</v>
      </c>
      <c r="M62" s="206">
        <f>IFERROR((COUNTIFS('All Contacts'!$U:$U, "Y", 'All Contacts'!$AB:$AB, "Cycle 3",'All Contacts'!$A:$A,"Chat",'All Contacts'!Y:Y,"LQ")+COUNTIFS('All Contacts'!$V:$V, "Y", 'All Contacts'!$AB:$AB, "Cycle 3",'All Contacts'!$A:$A,"Email",'All Contacts'!Y:Y,"LQ"))/N59,0)</f>
        <v>0</v>
      </c>
      <c r="N62" s="207">
        <f>IFERROR((COUNTIFS('All Contacts'!$U:$U, "", 'All Contacts'!$AB:$AB, "Cycle 3",'All Contacts'!$A:$A,"Chat",'All Contacts'!Y:Y,"LQ")+COUNTIFS('All Contacts'!$V:$V, "", 'All Contacts'!$AB:$AB, "Cycle 3",'All Contacts'!$A:$A,"Email",'All Contacts'!Y:Y,"LQ"))/N59,0)</f>
        <v>0</v>
      </c>
      <c r="O62" s="221">
        <f>IFERROR((COUNTIFS('All Contacts'!$U:$U, "N/A", 'All Contacts'!$AB:$AB, "Cycle 3",'All Contacts'!$A:$A,"Chat",'All Contacts'!Y:Y,"LQ")+COUNTIFS('All Contacts'!$V:$V, "N/A", 'All Contacts'!$AB:$AB, "Cycle 3",'All Contacts'!$A:$A,"Email",'All Contacts'!Y:Y,"LQ"))/N59,0)</f>
        <v>0</v>
      </c>
      <c r="P62" s="206">
        <f>IFERROR((COUNTIFS('All Contacts'!$U:$U, "Y",'All Contacts'!$A:$A,"Chat",'All Contacts'!Y:Y,"LQ")+COUNTIFS('All Contacts'!$V:$V, "Y",'All Contacts'!$A:$A,"Email",'All Contacts'!Y:Y,"LQ"))/Q59,0)</f>
        <v>0</v>
      </c>
      <c r="Q62" s="207">
        <f>IFERROR((COUNTIFS('All Contacts'!$U:$U, "",'All Contacts'!$A:$A,"Chat",'All Contacts'!Y:Y,"LQ")+COUNTIFS('All Contacts'!$V:$V, "",'All Contacts'!$A:$A,"Email",'All Contacts'!Y:Y,"LQ"))/Q59,0)</f>
        <v>0</v>
      </c>
      <c r="R62" s="221">
        <f>IFERROR((COUNTIFS('All Contacts'!$U:$U, "N/A",'All Contacts'!$A:$A,"Chat",'All Contacts'!Y:Y,"LQ")+COUNTIFS('All Contacts'!$V:$V, "N/A",'All Contacts'!$A:$A,"Email",'All Contacts'!Y:Y,"LQ"))/Q59,0)</f>
        <v>0</v>
      </c>
      <c r="S62" s="30"/>
    </row>
    <row r="63" spans="5:19" x14ac:dyDescent="0.2">
      <c r="I63" s="153"/>
      <c r="L63" s="157"/>
      <c r="M63" s="30"/>
      <c r="N63" s="30"/>
      <c r="O63" s="30"/>
      <c r="P63" s="30"/>
      <c r="Q63" s="30"/>
      <c r="R63" s="30"/>
      <c r="S63" s="30"/>
    </row>
    <row r="64" spans="5:19" x14ac:dyDescent="0.2">
      <c r="I64" s="153"/>
    </row>
    <row r="65" spans="9:9" x14ac:dyDescent="0.2">
      <c r="I65" s="153"/>
    </row>
    <row r="66" spans="9:9" x14ac:dyDescent="0.2">
      <c r="I66" s="153"/>
    </row>
    <row r="67" spans="9:9" x14ac:dyDescent="0.2">
      <c r="I67" s="153"/>
    </row>
    <row r="68" spans="9:9" x14ac:dyDescent="0.2">
      <c r="I68" s="153"/>
    </row>
    <row r="69" spans="9:9" x14ac:dyDescent="0.2">
      <c r="I69" s="153"/>
    </row>
    <row r="70" spans="9:9" x14ac:dyDescent="0.2">
      <c r="I70" s="153"/>
    </row>
    <row r="71" spans="9:9" x14ac:dyDescent="0.2">
      <c r="I71" s="153"/>
    </row>
    <row r="72" spans="9:9" x14ac:dyDescent="0.2">
      <c r="I72" s="153"/>
    </row>
    <row r="73" spans="9:9" x14ac:dyDescent="0.2">
      <c r="I73" s="153"/>
    </row>
    <row r="74" spans="9:9" x14ac:dyDescent="0.2">
      <c r="I74" s="153"/>
    </row>
    <row r="75" spans="9:9" x14ac:dyDescent="0.2">
      <c r="I75" s="153"/>
    </row>
    <row r="76" spans="9:9" x14ac:dyDescent="0.2">
      <c r="I76" s="153"/>
    </row>
    <row r="77" spans="9:9" x14ac:dyDescent="0.2">
      <c r="I77" s="153"/>
    </row>
    <row r="78" spans="9:9" x14ac:dyDescent="0.2">
      <c r="I78" s="153"/>
    </row>
    <row r="79" spans="9:9" x14ac:dyDescent="0.2">
      <c r="I79" s="153"/>
    </row>
    <row r="80" spans="9:9" x14ac:dyDescent="0.2">
      <c r="I80" s="153"/>
    </row>
    <row r="81" spans="9:9" x14ac:dyDescent="0.2">
      <c r="I81" s="153"/>
    </row>
    <row r="82" spans="9:9" x14ac:dyDescent="0.2">
      <c r="I82" s="153"/>
    </row>
    <row r="83" spans="9:9" x14ac:dyDescent="0.2">
      <c r="I83" s="153"/>
    </row>
    <row r="84" spans="9:9" x14ac:dyDescent="0.2">
      <c r="I84" s="153"/>
    </row>
    <row r="85" spans="9:9" x14ac:dyDescent="0.2">
      <c r="I85" s="153"/>
    </row>
    <row r="86" spans="9:9" x14ac:dyDescent="0.2">
      <c r="I86" s="153"/>
    </row>
    <row r="87" spans="9:9" x14ac:dyDescent="0.2">
      <c r="I87" s="153"/>
    </row>
    <row r="88" spans="9:9" x14ac:dyDescent="0.2">
      <c r="I88" s="153"/>
    </row>
    <row r="89" spans="9:9" x14ac:dyDescent="0.2">
      <c r="I89" s="153"/>
    </row>
    <row r="90" spans="9:9" x14ac:dyDescent="0.2">
      <c r="I90" s="153"/>
    </row>
    <row r="91" spans="9:9" x14ac:dyDescent="0.2">
      <c r="I91" s="153"/>
    </row>
    <row r="92" spans="9:9" x14ac:dyDescent="0.2">
      <c r="I92" s="153"/>
    </row>
    <row r="93" spans="9:9" x14ac:dyDescent="0.2">
      <c r="I93" s="153"/>
    </row>
    <row r="94" spans="9:9" x14ac:dyDescent="0.2">
      <c r="I94" s="153"/>
    </row>
    <row r="95" spans="9:9" x14ac:dyDescent="0.2">
      <c r="I95" s="153"/>
    </row>
    <row r="96" spans="9:9" x14ac:dyDescent="0.2">
      <c r="I96" s="153"/>
    </row>
    <row r="97" spans="9:9" x14ac:dyDescent="0.2">
      <c r="I97" s="153"/>
    </row>
    <row r="98" spans="9:9" x14ac:dyDescent="0.2">
      <c r="I98" s="153"/>
    </row>
    <row r="99" spans="9:9" x14ac:dyDescent="0.2">
      <c r="I99" s="153"/>
    </row>
    <row r="100" spans="9:9" x14ac:dyDescent="0.2">
      <c r="I100" s="153" t="str">
        <f t="shared" ref="I100:I128" si="0">IF(E100="","",COUNTIF($E$12:$E$128,E100))</f>
        <v/>
      </c>
    </row>
    <row r="101" spans="9:9" x14ac:dyDescent="0.2">
      <c r="I101" s="153" t="str">
        <f t="shared" si="0"/>
        <v/>
      </c>
    </row>
    <row r="102" spans="9:9" x14ac:dyDescent="0.2">
      <c r="I102" s="153" t="str">
        <f t="shared" si="0"/>
        <v/>
      </c>
    </row>
    <row r="103" spans="9:9" x14ac:dyDescent="0.2">
      <c r="I103" s="153" t="str">
        <f t="shared" si="0"/>
        <v/>
      </c>
    </row>
    <row r="104" spans="9:9" x14ac:dyDescent="0.2">
      <c r="I104" s="153" t="str">
        <f t="shared" si="0"/>
        <v/>
      </c>
    </row>
    <row r="105" spans="9:9" x14ac:dyDescent="0.2">
      <c r="I105" s="153" t="str">
        <f t="shared" si="0"/>
        <v/>
      </c>
    </row>
    <row r="106" spans="9:9" x14ac:dyDescent="0.2">
      <c r="I106" s="153" t="str">
        <f t="shared" si="0"/>
        <v/>
      </c>
    </row>
    <row r="107" spans="9:9" x14ac:dyDescent="0.2">
      <c r="I107" s="153" t="str">
        <f t="shared" si="0"/>
        <v/>
      </c>
    </row>
    <row r="108" spans="9:9" x14ac:dyDescent="0.2">
      <c r="I108" s="153" t="str">
        <f t="shared" si="0"/>
        <v/>
      </c>
    </row>
    <row r="109" spans="9:9" x14ac:dyDescent="0.2">
      <c r="I109" s="153" t="str">
        <f t="shared" si="0"/>
        <v/>
      </c>
    </row>
    <row r="110" spans="9:9" x14ac:dyDescent="0.2">
      <c r="I110" s="153" t="str">
        <f t="shared" si="0"/>
        <v/>
      </c>
    </row>
    <row r="111" spans="9:9" x14ac:dyDescent="0.2">
      <c r="I111" s="153" t="str">
        <f t="shared" si="0"/>
        <v/>
      </c>
    </row>
    <row r="112" spans="9:9" x14ac:dyDescent="0.2">
      <c r="I112" s="153" t="str">
        <f t="shared" si="0"/>
        <v/>
      </c>
    </row>
    <row r="113" spans="9:9" x14ac:dyDescent="0.2">
      <c r="I113" s="153" t="str">
        <f t="shared" si="0"/>
        <v/>
      </c>
    </row>
    <row r="114" spans="9:9" x14ac:dyDescent="0.2">
      <c r="I114" s="153" t="str">
        <f t="shared" si="0"/>
        <v/>
      </c>
    </row>
    <row r="115" spans="9:9" x14ac:dyDescent="0.2">
      <c r="I115" s="153" t="str">
        <f t="shared" si="0"/>
        <v/>
      </c>
    </row>
    <row r="116" spans="9:9" x14ac:dyDescent="0.2">
      <c r="I116" s="153" t="str">
        <f t="shared" si="0"/>
        <v/>
      </c>
    </row>
    <row r="117" spans="9:9" x14ac:dyDescent="0.2">
      <c r="I117" s="153" t="str">
        <f t="shared" si="0"/>
        <v/>
      </c>
    </row>
    <row r="118" spans="9:9" x14ac:dyDescent="0.2">
      <c r="I118" s="153" t="str">
        <f t="shared" si="0"/>
        <v/>
      </c>
    </row>
    <row r="119" spans="9:9" x14ac:dyDescent="0.2">
      <c r="I119" s="153" t="str">
        <f t="shared" si="0"/>
        <v/>
      </c>
    </row>
    <row r="120" spans="9:9" x14ac:dyDescent="0.2">
      <c r="I120" s="153" t="str">
        <f t="shared" si="0"/>
        <v/>
      </c>
    </row>
    <row r="121" spans="9:9" x14ac:dyDescent="0.2">
      <c r="I121" s="153" t="str">
        <f t="shared" si="0"/>
        <v/>
      </c>
    </row>
    <row r="122" spans="9:9" x14ac:dyDescent="0.2">
      <c r="I122" s="153" t="str">
        <f t="shared" si="0"/>
        <v/>
      </c>
    </row>
    <row r="123" spans="9:9" x14ac:dyDescent="0.2">
      <c r="I123" s="153" t="str">
        <f t="shared" si="0"/>
        <v/>
      </c>
    </row>
    <row r="124" spans="9:9" x14ac:dyDescent="0.2">
      <c r="I124" s="153" t="str">
        <f t="shared" si="0"/>
        <v/>
      </c>
    </row>
    <row r="125" spans="9:9" x14ac:dyDescent="0.2">
      <c r="I125" s="153" t="str">
        <f t="shared" si="0"/>
        <v/>
      </c>
    </row>
    <row r="126" spans="9:9" x14ac:dyDescent="0.2">
      <c r="I126" s="153" t="str">
        <f t="shared" si="0"/>
        <v/>
      </c>
    </row>
    <row r="127" spans="9:9" x14ac:dyDescent="0.2">
      <c r="I127" s="153" t="str">
        <f t="shared" si="0"/>
        <v/>
      </c>
    </row>
    <row r="128" spans="9:9" x14ac:dyDescent="0.2">
      <c r="I128" s="153" t="str">
        <f t="shared" si="0"/>
        <v/>
      </c>
    </row>
  </sheetData>
  <mergeCells count="23">
    <mergeCell ref="P13:R13"/>
    <mergeCell ref="P39:R39"/>
    <mergeCell ref="L10:L11"/>
    <mergeCell ref="E15:E17"/>
    <mergeCell ref="E19:E20"/>
    <mergeCell ref="E22:E23"/>
    <mergeCell ref="E25:E28"/>
    <mergeCell ref="E30:E32"/>
    <mergeCell ref="E34:E36"/>
    <mergeCell ref="G13:I13"/>
    <mergeCell ref="J13:L13"/>
    <mergeCell ref="M13:O13"/>
    <mergeCell ref="E13:F14"/>
    <mergeCell ref="E39:F40"/>
    <mergeCell ref="G39:I39"/>
    <mergeCell ref="J39:L39"/>
    <mergeCell ref="E56:E58"/>
    <mergeCell ref="E60:E62"/>
    <mergeCell ref="M39:O39"/>
    <mergeCell ref="E41:E43"/>
    <mergeCell ref="E45:E46"/>
    <mergeCell ref="E48:E49"/>
    <mergeCell ref="E51:E54"/>
  </mergeCells>
  <conditionalFormatting sqref="C12:J12 C63:J198 C13:D62 G15:H32 G37:J38 G34:H36">
    <cfRule type="expression" dxfId="137" priority="65">
      <formula>$C12&lt;&gt;""</formula>
    </cfRule>
  </conditionalFormatting>
  <conditionalFormatting sqref="E15:F15 F16:F17 E19:F19 F28 E29:F30 F36 E21:F22 F20 E24:F25 F23 E34:F34 F31:F32">
    <cfRule type="expression" dxfId="136" priority="82">
      <formula>$C16&lt;&gt;""</formula>
    </cfRule>
  </conditionalFormatting>
  <conditionalFormatting sqref="E18:F18 F35">
    <cfRule type="expression" dxfId="135" priority="90">
      <formula>#REF!&lt;&gt;""</formula>
    </cfRule>
  </conditionalFormatting>
  <conditionalFormatting sqref="F26">
    <cfRule type="expression" dxfId="134" priority="92">
      <formula>$C28&lt;&gt;""</formula>
    </cfRule>
  </conditionalFormatting>
  <conditionalFormatting sqref="F27">
    <cfRule type="expression" dxfId="133" priority="104">
      <formula>#REF!&lt;&gt;""</formula>
    </cfRule>
  </conditionalFormatting>
  <conditionalFormatting sqref="I37:I38 I12 I63">
    <cfRule type="colorScale" priority="112">
      <colorScale>
        <cfvo type="min"/>
        <cfvo type="max"/>
        <color rgb="FFFCFCFF"/>
        <color rgb="FF63BE7B"/>
      </colorScale>
    </cfRule>
  </conditionalFormatting>
  <conditionalFormatting sqref="G44:J44">
    <cfRule type="expression" dxfId="132" priority="51">
      <formula>$C44&lt;&gt;""</formula>
    </cfRule>
  </conditionalFormatting>
  <conditionalFormatting sqref="E41:F41 F42:F43 E45:F45 F54 E55:F56 F62 E47:F48 F46 E50:F51 F49 E59:F60 F57:F58">
    <cfRule type="expression" dxfId="131" priority="52">
      <formula>$C42&lt;&gt;""</formula>
    </cfRule>
  </conditionalFormatting>
  <conditionalFormatting sqref="E44:F44 F61">
    <cfRule type="expression" dxfId="130" priority="53">
      <formula>#REF!&lt;&gt;""</formula>
    </cfRule>
  </conditionalFormatting>
  <conditionalFormatting sqref="F52">
    <cfRule type="expression" dxfId="129" priority="54">
      <formula>$C54&lt;&gt;""</formula>
    </cfRule>
  </conditionalFormatting>
  <conditionalFormatting sqref="F53">
    <cfRule type="expression" dxfId="128" priority="55">
      <formula>#REF!&lt;&gt;""</formula>
    </cfRule>
  </conditionalFormatting>
  <conditionalFormatting sqref="I44">
    <cfRule type="colorScale" priority="56">
      <colorScale>
        <cfvo type="min"/>
        <cfvo type="max"/>
        <color rgb="FFFCFCFF"/>
        <color rgb="FF63BE7B"/>
      </colorScale>
    </cfRule>
  </conditionalFormatting>
  <conditionalFormatting sqref="I19">
    <cfRule type="expression" dxfId="127" priority="50">
      <formula>$C19&lt;&gt;""</formula>
    </cfRule>
  </conditionalFormatting>
  <conditionalFormatting sqref="J15:K17">
    <cfRule type="expression" dxfId="126" priority="49">
      <formula>$C15&lt;&gt;""</formula>
    </cfRule>
  </conditionalFormatting>
  <conditionalFormatting sqref="M15:N17">
    <cfRule type="expression" dxfId="125" priority="48">
      <formula>$C15&lt;&gt;""</formula>
    </cfRule>
  </conditionalFormatting>
  <conditionalFormatting sqref="G41:H43">
    <cfRule type="expression" dxfId="124" priority="44">
      <formula>$C41&lt;&gt;""</formula>
    </cfRule>
  </conditionalFormatting>
  <conditionalFormatting sqref="J41:K43">
    <cfRule type="expression" dxfId="123" priority="43">
      <formula>$C41&lt;&gt;""</formula>
    </cfRule>
  </conditionalFormatting>
  <conditionalFormatting sqref="M41:N43">
    <cfRule type="expression" dxfId="122" priority="42">
      <formula>$C41&lt;&gt;""</formula>
    </cfRule>
  </conditionalFormatting>
  <conditionalFormatting sqref="J19:K20">
    <cfRule type="expression" dxfId="121" priority="41">
      <formula>$C19&lt;&gt;""</formula>
    </cfRule>
  </conditionalFormatting>
  <conditionalFormatting sqref="L19">
    <cfRule type="expression" dxfId="120" priority="40">
      <formula>$C19&lt;&gt;""</formula>
    </cfRule>
  </conditionalFormatting>
  <conditionalFormatting sqref="M19:N20">
    <cfRule type="expression" dxfId="119" priority="39">
      <formula>$C19&lt;&gt;""</formula>
    </cfRule>
  </conditionalFormatting>
  <conditionalFormatting sqref="O19">
    <cfRule type="expression" dxfId="118" priority="38">
      <formula>$C19&lt;&gt;""</formula>
    </cfRule>
  </conditionalFormatting>
  <conditionalFormatting sqref="J22:K23">
    <cfRule type="expression" dxfId="117" priority="37">
      <formula>$C22&lt;&gt;""</formula>
    </cfRule>
  </conditionalFormatting>
  <conditionalFormatting sqref="M22:N23">
    <cfRule type="expression" dxfId="116" priority="36">
      <formula>$C22&lt;&gt;""</formula>
    </cfRule>
  </conditionalFormatting>
  <conditionalFormatting sqref="J25:K28">
    <cfRule type="expression" dxfId="115" priority="35">
      <formula>$C25&lt;&gt;""</formula>
    </cfRule>
  </conditionalFormatting>
  <conditionalFormatting sqref="M25:N28">
    <cfRule type="expression" dxfId="114" priority="34">
      <formula>$C25&lt;&gt;""</formula>
    </cfRule>
  </conditionalFormatting>
  <conditionalFormatting sqref="J30:K32">
    <cfRule type="expression" dxfId="113" priority="33">
      <formula>$C30&lt;&gt;""</formula>
    </cfRule>
  </conditionalFormatting>
  <conditionalFormatting sqref="M30:N32">
    <cfRule type="expression" dxfId="112" priority="32">
      <formula>$C30&lt;&gt;""</formula>
    </cfRule>
  </conditionalFormatting>
  <conditionalFormatting sqref="J34:K36">
    <cfRule type="expression" dxfId="111" priority="22">
      <formula>$C34&lt;&gt;""</formula>
    </cfRule>
  </conditionalFormatting>
  <conditionalFormatting sqref="P41:Q58 P60:Q62">
    <cfRule type="expression" dxfId="110" priority="3">
      <formula>$C41&lt;&gt;""</formula>
    </cfRule>
  </conditionalFormatting>
  <conditionalFormatting sqref="R45">
    <cfRule type="expression" dxfId="109" priority="2">
      <formula>$C45&lt;&gt;""</formula>
    </cfRule>
  </conditionalFormatting>
  <conditionalFormatting sqref="M34:N36">
    <cfRule type="expression" dxfId="108" priority="20">
      <formula>$C34&lt;&gt;""</formula>
    </cfRule>
  </conditionalFormatting>
  <conditionalFormatting sqref="G45:H58 G60:H62">
    <cfRule type="expression" dxfId="107" priority="19">
      <formula>$C45&lt;&gt;""</formula>
    </cfRule>
  </conditionalFormatting>
  <conditionalFormatting sqref="I45">
    <cfRule type="expression" dxfId="106" priority="18">
      <formula>$C45&lt;&gt;""</formula>
    </cfRule>
  </conditionalFormatting>
  <conditionalFormatting sqref="J45:K46">
    <cfRule type="expression" dxfId="105" priority="17">
      <formula>$C45&lt;&gt;""</formula>
    </cfRule>
  </conditionalFormatting>
  <conditionalFormatting sqref="L45">
    <cfRule type="expression" dxfId="104" priority="16">
      <formula>$C45&lt;&gt;""</formula>
    </cfRule>
  </conditionalFormatting>
  <conditionalFormatting sqref="M45:N46">
    <cfRule type="expression" dxfId="103" priority="15">
      <formula>$C45&lt;&gt;""</formula>
    </cfRule>
  </conditionalFormatting>
  <conditionalFormatting sqref="O45">
    <cfRule type="expression" dxfId="102" priority="14">
      <formula>$C45&lt;&gt;""</formula>
    </cfRule>
  </conditionalFormatting>
  <conditionalFormatting sqref="J48:K49">
    <cfRule type="expression" dxfId="101" priority="13">
      <formula>$C48&lt;&gt;""</formula>
    </cfRule>
  </conditionalFormatting>
  <conditionalFormatting sqref="M48:N49">
    <cfRule type="expression" dxfId="100" priority="12">
      <formula>$C48&lt;&gt;""</formula>
    </cfRule>
  </conditionalFormatting>
  <conditionalFormatting sqref="J51:K54">
    <cfRule type="expression" dxfId="99" priority="11">
      <formula>$C51&lt;&gt;""</formula>
    </cfRule>
  </conditionalFormatting>
  <conditionalFormatting sqref="M51:N54">
    <cfRule type="expression" dxfId="98" priority="10">
      <formula>$C51&lt;&gt;""</formula>
    </cfRule>
  </conditionalFormatting>
  <conditionalFormatting sqref="J56:K58">
    <cfRule type="expression" dxfId="97" priority="9">
      <formula>$C56&lt;&gt;""</formula>
    </cfRule>
  </conditionalFormatting>
  <conditionalFormatting sqref="M56:N58">
    <cfRule type="expression" dxfId="96" priority="8">
      <formula>$C56&lt;&gt;""</formula>
    </cfRule>
  </conditionalFormatting>
  <conditionalFormatting sqref="J60:K62">
    <cfRule type="expression" dxfId="95" priority="7">
      <formula>$C60&lt;&gt;""</formula>
    </cfRule>
  </conditionalFormatting>
  <conditionalFormatting sqref="M60:N62">
    <cfRule type="expression" dxfId="94" priority="6">
      <formula>$C60&lt;&gt;""</formula>
    </cfRule>
  </conditionalFormatting>
  <conditionalFormatting sqref="P15:Q32 P34:Q36">
    <cfRule type="expression" dxfId="93" priority="5">
      <formula>$C15&lt;&gt;""</formula>
    </cfRule>
  </conditionalFormatting>
  <conditionalFormatting sqref="R19">
    <cfRule type="expression" dxfId="92" priority="4">
      <formula>$C19&lt;&gt;""</formula>
    </cfRule>
  </conditionalFormatting>
  <conditionalFormatting sqref="H1:H5 K1:K5 N1:N5 Q1:Q13 K8:K13 H8:H13 H15:H32 Q15:Q32 N15:N32 K15:K32 Q41:Q58 N41:N58 K41:K58 H41:H58 K34:K39 N34:N39 Q34:Q39 H34:H39 H60:H1048576 K60:K1048576 N60:N1048576 Q60:Q1048576 N8:N13">
    <cfRule type="cellIs" dxfId="91" priority="1" operator="greaterThan">
      <formula>0.1</formula>
    </cfRule>
  </conditionalFormatting>
  <dataValidations count="1">
    <dataValidation type="list" allowBlank="1" showInputMessage="1" showErrorMessage="1" sqref="G8">
      <formula1>TDDate</formula1>
    </dataValidation>
  </dataValidations>
  <hyperlinks>
    <hyperlink ref="B15" location="'Urgent Escalation'!A1" display="Urgent Escalation"/>
    <hyperlink ref="B19" location="'Existing Bonus File'!A1" display="Contact Review File"/>
    <hyperlink ref="B17" location="PDP!A1" display="PDP"/>
    <hyperlink ref="B13" location="'Employee Management'!A1" display="Staff Record"/>
    <hyperlink ref="B11" location="'TD Planner'!A1" display="TD Planner"/>
    <hyperlink ref="B2" location="Dashboard!A1" display="Dashboard"/>
    <hyperlink ref="B7" location="'Performance Stats'!A1" display="Performance Stats"/>
    <hyperlink ref="B21" location="'Meeting Log'!A1" display="Meeting Log"/>
  </hyperlink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Configuration!$P$1:$P$4</xm:f>
          </x14:formula1>
          <xm:sqref>K7</xm:sqref>
        </x14:dataValidation>
        <x14:dataValidation type="list" allowBlank="1" showInputMessage="1" showErrorMessage="1">
          <x14:formula1>
            <xm:f>Configuration!$A:$A</xm:f>
          </x14:formula1>
          <xm:sqref>I8</xm:sqref>
        </x14:dataValidation>
        <x14:dataValidation type="list" allowBlank="1" showInputMessage="1">
          <x14:formula1>
            <xm:f>Supervisor!$A:$A</xm:f>
          </x14:formula1>
          <xm:sqref>N7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U125"/>
  <sheetViews>
    <sheetView showGridLines="0" zoomScaleNormal="100" workbookViewId="0">
      <selection activeCell="F3" sqref="F3"/>
    </sheetView>
  </sheetViews>
  <sheetFormatPr defaultRowHeight="12.75" x14ac:dyDescent="0.2"/>
  <cols>
    <col min="1" max="1" width="0.5703125" style="246" customWidth="1"/>
    <col min="2" max="2" width="17.42578125" style="246" bestFit="1" customWidth="1"/>
    <col min="3" max="3" width="0.85546875" style="1" customWidth="1"/>
    <col min="4" max="4" width="16.140625" style="252" bestFit="1" customWidth="1"/>
    <col min="5" max="5" width="13.140625" style="16" bestFit="1" customWidth="1"/>
    <col min="6" max="6" width="13.42578125" style="279" bestFit="1" customWidth="1"/>
    <col min="7" max="7" width="9.5703125" style="279" bestFit="1" customWidth="1"/>
    <col min="8" max="8" width="13.28515625" style="17" bestFit="1" customWidth="1"/>
    <col min="9" max="9" width="76.7109375" style="10" customWidth="1"/>
    <col min="10" max="10" width="7.42578125" style="10" customWidth="1"/>
    <col min="11" max="11" width="4.140625" style="1" customWidth="1"/>
    <col min="12" max="12" width="2.28515625" style="1" customWidth="1"/>
    <col min="13" max="13" width="3" style="1" customWidth="1"/>
    <col min="14" max="14" width="10.140625" style="12" bestFit="1" customWidth="1"/>
    <col min="15" max="21" width="14.140625" style="12" customWidth="1"/>
    <col min="22" max="22" width="16.42578125" style="1" bestFit="1" customWidth="1"/>
    <col min="23" max="16384" width="9.140625" style="1"/>
  </cols>
  <sheetData>
    <row r="1" spans="1:21" s="127" customFormat="1" ht="36.75" customHeight="1" x14ac:dyDescent="0.2">
      <c r="A1" s="142"/>
      <c r="B1" s="142"/>
      <c r="D1" s="251"/>
      <c r="E1" s="141"/>
      <c r="F1" s="278"/>
      <c r="G1" s="278"/>
      <c r="H1" s="126"/>
      <c r="Q1" s="255" t="s">
        <v>84</v>
      </c>
      <c r="R1" s="255" t="s">
        <v>83</v>
      </c>
    </row>
    <row r="2" spans="1:21" x14ac:dyDescent="0.2">
      <c r="B2" s="248" t="s">
        <v>119</v>
      </c>
    </row>
    <row r="3" spans="1:21" x14ac:dyDescent="0.2">
      <c r="E3" s="12" t="s">
        <v>1</v>
      </c>
      <c r="F3" s="19"/>
      <c r="H3" s="10"/>
      <c r="I3" s="12"/>
    </row>
    <row r="4" spans="1:21" x14ac:dyDescent="0.2">
      <c r="B4" s="248" t="s">
        <v>434</v>
      </c>
    </row>
    <row r="5" spans="1:21" x14ac:dyDescent="0.2">
      <c r="E5" s="15"/>
      <c r="G5" s="29"/>
      <c r="H5" s="14"/>
      <c r="K5" s="4"/>
      <c r="L5" s="4"/>
    </row>
    <row r="6" spans="1:21" x14ac:dyDescent="0.2">
      <c r="B6" s="248" t="s">
        <v>435</v>
      </c>
      <c r="E6" s="15"/>
      <c r="G6" s="29"/>
      <c r="H6" s="14"/>
      <c r="I6" s="4"/>
      <c r="J6" s="4"/>
      <c r="K6" s="4"/>
      <c r="L6" s="4"/>
      <c r="M6" s="2"/>
    </row>
    <row r="7" spans="1:21" x14ac:dyDescent="0.2">
      <c r="E7" s="15"/>
      <c r="F7" s="29"/>
      <c r="G7" s="29"/>
      <c r="H7" s="14"/>
      <c r="I7" s="4"/>
      <c r="J7" s="4"/>
      <c r="K7" s="4"/>
      <c r="L7" s="4"/>
      <c r="M7" s="4"/>
      <c r="N7" s="5"/>
    </row>
    <row r="8" spans="1:21" x14ac:dyDescent="0.2">
      <c r="B8" s="248" t="s">
        <v>441</v>
      </c>
      <c r="G8" s="280"/>
      <c r="H8" s="48"/>
      <c r="I8" s="49"/>
      <c r="J8" s="48"/>
      <c r="K8" s="4"/>
      <c r="L8" s="50"/>
      <c r="M8" s="49"/>
      <c r="N8" s="50"/>
      <c r="O8" s="5"/>
      <c r="P8" s="5"/>
      <c r="R8" s="5"/>
    </row>
    <row r="9" spans="1:21" ht="13.5" thickBot="1" x14ac:dyDescent="0.25">
      <c r="E9" s="15"/>
      <c r="F9" s="29"/>
      <c r="G9" s="29"/>
      <c r="H9" s="14"/>
      <c r="I9" s="4"/>
      <c r="J9" s="4"/>
      <c r="K9" s="4"/>
      <c r="L9" s="4"/>
      <c r="M9" s="4"/>
      <c r="N9" s="5"/>
    </row>
    <row r="10" spans="1:21" ht="15" x14ac:dyDescent="0.2">
      <c r="B10" s="248" t="s">
        <v>436</v>
      </c>
      <c r="E10" s="15"/>
      <c r="F10" s="25"/>
      <c r="G10" s="29"/>
      <c r="H10" s="14"/>
      <c r="I10" s="4"/>
      <c r="J10" s="6"/>
      <c r="K10" s="4"/>
      <c r="L10" s="2"/>
      <c r="N10" s="355" t="s">
        <v>81</v>
      </c>
      <c r="O10" s="356"/>
      <c r="P10" s="356"/>
      <c r="Q10" s="356"/>
      <c r="R10" s="356"/>
      <c r="S10" s="356"/>
      <c r="T10" s="356"/>
      <c r="U10" s="357"/>
    </row>
    <row r="11" spans="1:21" x14ac:dyDescent="0.2">
      <c r="D11" s="253" t="s">
        <v>9</v>
      </c>
      <c r="E11" s="92" t="s">
        <v>7</v>
      </c>
      <c r="F11" s="281" t="s">
        <v>4</v>
      </c>
      <c r="G11" s="281" t="s">
        <v>5</v>
      </c>
      <c r="H11" s="93" t="s">
        <v>19</v>
      </c>
      <c r="I11" s="93" t="s">
        <v>287</v>
      </c>
      <c r="K11" s="4"/>
      <c r="L11" s="2"/>
      <c r="N11" s="358" t="s">
        <v>8</v>
      </c>
      <c r="O11" s="39">
        <f t="shared" ref="O11:U11" si="0">O12</f>
        <v>0</v>
      </c>
      <c r="P11" s="39">
        <f t="shared" si="0"/>
        <v>1</v>
      </c>
      <c r="Q11" s="39">
        <f t="shared" si="0"/>
        <v>2</v>
      </c>
      <c r="R11" s="39">
        <f t="shared" si="0"/>
        <v>3</v>
      </c>
      <c r="S11" s="39">
        <f t="shared" si="0"/>
        <v>4</v>
      </c>
      <c r="T11" s="39">
        <f t="shared" si="0"/>
        <v>5</v>
      </c>
      <c r="U11" s="40">
        <f t="shared" si="0"/>
        <v>6</v>
      </c>
    </row>
    <row r="12" spans="1:21" x14ac:dyDescent="0.2">
      <c r="B12" s="248" t="s">
        <v>378</v>
      </c>
      <c r="D12" s="254" t="s">
        <v>439</v>
      </c>
      <c r="E12" s="21" t="s">
        <v>439</v>
      </c>
      <c r="F12" s="25" t="s">
        <v>439</v>
      </c>
      <c r="G12" s="25" t="s">
        <v>439</v>
      </c>
      <c r="H12" s="5" t="s">
        <v>439</v>
      </c>
      <c r="I12" s="12" t="s">
        <v>439</v>
      </c>
      <c r="K12" s="4"/>
      <c r="L12" s="2"/>
      <c r="N12" s="359"/>
      <c r="O12" s="37">
        <f>F3</f>
        <v>0</v>
      </c>
      <c r="P12" s="37">
        <f t="shared" ref="P12:U12" si="1">O12+1</f>
        <v>1</v>
      </c>
      <c r="Q12" s="37">
        <f t="shared" si="1"/>
        <v>2</v>
      </c>
      <c r="R12" s="37">
        <f t="shared" si="1"/>
        <v>3</v>
      </c>
      <c r="S12" s="37">
        <f t="shared" si="1"/>
        <v>4</v>
      </c>
      <c r="T12" s="37">
        <f t="shared" si="1"/>
        <v>5</v>
      </c>
      <c r="U12" s="38">
        <f t="shared" si="1"/>
        <v>6</v>
      </c>
    </row>
    <row r="13" spans="1:21" x14ac:dyDescent="0.2">
      <c r="D13" s="254" t="s">
        <v>439</v>
      </c>
      <c r="E13" s="21" t="s">
        <v>439</v>
      </c>
      <c r="F13" s="25" t="s">
        <v>439</v>
      </c>
      <c r="G13" s="25" t="s">
        <v>439</v>
      </c>
      <c r="H13" s="5" t="s">
        <v>439</v>
      </c>
      <c r="I13" s="30" t="s">
        <v>439</v>
      </c>
      <c r="K13" s="4"/>
      <c r="L13" s="2"/>
      <c r="N13" s="94">
        <v>0</v>
      </c>
      <c r="O13" s="41"/>
      <c r="P13" s="42"/>
      <c r="Q13" s="42"/>
      <c r="R13" s="42"/>
      <c r="S13" s="42"/>
      <c r="T13" s="42"/>
      <c r="U13" s="43"/>
    </row>
    <row r="14" spans="1:21" x14ac:dyDescent="0.2">
      <c r="B14" s="248" t="s">
        <v>437</v>
      </c>
      <c r="D14" s="254" t="s">
        <v>439</v>
      </c>
      <c r="E14" s="21" t="s">
        <v>439</v>
      </c>
      <c r="F14" s="25" t="s">
        <v>439</v>
      </c>
      <c r="G14" s="25" t="s">
        <v>439</v>
      </c>
      <c r="H14" s="5" t="s">
        <v>439</v>
      </c>
      <c r="I14" s="12" t="s">
        <v>439</v>
      </c>
      <c r="K14" s="4"/>
      <c r="L14" s="2"/>
      <c r="N14" s="95">
        <v>2.0833333333333332E-2</v>
      </c>
      <c r="O14" s="44"/>
      <c r="P14" s="20"/>
      <c r="Q14" s="20"/>
      <c r="R14" s="20"/>
      <c r="S14" s="20"/>
      <c r="T14" s="20"/>
      <c r="U14" s="45"/>
    </row>
    <row r="15" spans="1:21" x14ac:dyDescent="0.2">
      <c r="D15" s="254" t="s">
        <v>439</v>
      </c>
      <c r="E15" s="21" t="s">
        <v>439</v>
      </c>
      <c r="F15" s="25" t="s">
        <v>439</v>
      </c>
      <c r="G15" s="25" t="s">
        <v>439</v>
      </c>
      <c r="H15" s="5" t="s">
        <v>439</v>
      </c>
      <c r="I15" s="12" t="s">
        <v>439</v>
      </c>
      <c r="K15" s="4"/>
      <c r="L15" s="2"/>
      <c r="N15" s="96">
        <v>4.1666666666666664E-2</v>
      </c>
      <c r="O15" s="44"/>
      <c r="P15" s="20"/>
      <c r="Q15" s="20"/>
      <c r="R15" s="20"/>
      <c r="S15" s="20"/>
      <c r="T15" s="20"/>
      <c r="U15" s="45"/>
    </row>
    <row r="16" spans="1:21" x14ac:dyDescent="0.2">
      <c r="B16" s="248" t="s">
        <v>617</v>
      </c>
      <c r="D16" s="254" t="s">
        <v>439</v>
      </c>
      <c r="E16" s="23" t="s">
        <v>439</v>
      </c>
      <c r="F16" s="25" t="s">
        <v>439</v>
      </c>
      <c r="G16" s="282" t="s">
        <v>439</v>
      </c>
      <c r="H16" s="24" t="s">
        <v>439</v>
      </c>
      <c r="I16" s="12" t="s">
        <v>439</v>
      </c>
      <c r="J16" s="5"/>
      <c r="K16" s="4"/>
      <c r="N16" s="95">
        <v>6.25E-2</v>
      </c>
      <c r="O16" s="44"/>
      <c r="P16" s="20"/>
      <c r="Q16" s="20"/>
      <c r="R16" s="20"/>
      <c r="S16" s="20"/>
      <c r="T16" s="20"/>
      <c r="U16" s="45"/>
    </row>
    <row r="17" spans="4:21" x14ac:dyDescent="0.2">
      <c r="D17" s="254" t="s">
        <v>439</v>
      </c>
      <c r="E17" s="23" t="s">
        <v>439</v>
      </c>
      <c r="F17" s="25" t="s">
        <v>439</v>
      </c>
      <c r="G17" s="282" t="s">
        <v>439</v>
      </c>
      <c r="H17" s="24" t="s">
        <v>439</v>
      </c>
      <c r="I17" s="12" t="s">
        <v>439</v>
      </c>
      <c r="J17" s="5"/>
      <c r="K17" s="4"/>
      <c r="N17" s="96">
        <v>8.3333333333333301E-2</v>
      </c>
      <c r="O17" s="20"/>
      <c r="P17" s="20"/>
      <c r="Q17" s="20"/>
      <c r="R17" s="20"/>
      <c r="S17" s="20"/>
      <c r="T17" s="20"/>
      <c r="U17" s="45"/>
    </row>
    <row r="18" spans="4:21" x14ac:dyDescent="0.2">
      <c r="D18" s="254" t="s">
        <v>439</v>
      </c>
      <c r="E18" s="23" t="s">
        <v>439</v>
      </c>
      <c r="F18" s="282" t="s">
        <v>439</v>
      </c>
      <c r="G18" s="282" t="s">
        <v>439</v>
      </c>
      <c r="H18" s="24" t="s">
        <v>439</v>
      </c>
      <c r="I18" s="12" t="s">
        <v>439</v>
      </c>
      <c r="J18" s="5"/>
      <c r="K18" s="4"/>
      <c r="N18" s="95">
        <v>0.104166666666667</v>
      </c>
      <c r="O18" s="20"/>
      <c r="P18" s="20"/>
      <c r="Q18" s="20"/>
      <c r="R18" s="20"/>
      <c r="S18" s="20"/>
      <c r="T18" s="20"/>
      <c r="U18" s="45"/>
    </row>
    <row r="19" spans="4:21" x14ac:dyDescent="0.2">
      <c r="D19" s="252" t="s">
        <v>439</v>
      </c>
      <c r="E19" s="16" t="s">
        <v>439</v>
      </c>
      <c r="F19" s="279" t="s">
        <v>439</v>
      </c>
      <c r="G19" s="279" t="s">
        <v>439</v>
      </c>
      <c r="H19" s="17" t="s">
        <v>439</v>
      </c>
      <c r="I19" s="10" t="s">
        <v>439</v>
      </c>
      <c r="J19" s="4"/>
      <c r="K19" s="4"/>
      <c r="N19" s="96">
        <v>0.125</v>
      </c>
      <c r="O19" s="20"/>
      <c r="P19" s="20"/>
      <c r="Q19" s="20"/>
      <c r="R19" s="20"/>
      <c r="S19" s="20"/>
      <c r="T19" s="20"/>
      <c r="U19" s="45"/>
    </row>
    <row r="20" spans="4:21" x14ac:dyDescent="0.2">
      <c r="D20" s="252" t="s">
        <v>439</v>
      </c>
      <c r="E20" s="16" t="s">
        <v>439</v>
      </c>
      <c r="F20" s="279" t="s">
        <v>439</v>
      </c>
      <c r="G20" s="279" t="s">
        <v>439</v>
      </c>
      <c r="H20" s="17" t="s">
        <v>439</v>
      </c>
      <c r="I20" s="10" t="s">
        <v>439</v>
      </c>
      <c r="J20" s="4"/>
      <c r="K20" s="4"/>
      <c r="N20" s="95">
        <v>0.14583333333333301</v>
      </c>
      <c r="O20" s="20"/>
      <c r="P20" s="20"/>
      <c r="Q20" s="20"/>
      <c r="R20" s="20"/>
      <c r="S20" s="20"/>
      <c r="T20" s="20"/>
      <c r="U20" s="45"/>
    </row>
    <row r="21" spans="4:21" x14ac:dyDescent="0.2">
      <c r="D21" s="252" t="s">
        <v>439</v>
      </c>
      <c r="E21" s="16" t="s">
        <v>439</v>
      </c>
      <c r="F21" s="279" t="s">
        <v>439</v>
      </c>
      <c r="G21" s="279" t="s">
        <v>439</v>
      </c>
      <c r="H21" s="17" t="s">
        <v>439</v>
      </c>
      <c r="I21" s="10" t="s">
        <v>439</v>
      </c>
      <c r="J21" s="4"/>
      <c r="K21" s="4"/>
      <c r="N21" s="96">
        <v>0.16666666666666699</v>
      </c>
      <c r="O21" s="20"/>
      <c r="P21" s="20"/>
      <c r="Q21" s="20"/>
      <c r="R21" s="20"/>
      <c r="S21" s="20"/>
      <c r="T21" s="20"/>
      <c r="U21" s="45"/>
    </row>
    <row r="22" spans="4:21" x14ac:dyDescent="0.2">
      <c r="D22" s="252" t="s">
        <v>439</v>
      </c>
      <c r="E22" s="16" t="s">
        <v>439</v>
      </c>
      <c r="F22" s="279" t="s">
        <v>439</v>
      </c>
      <c r="G22" s="279" t="s">
        <v>439</v>
      </c>
      <c r="H22" s="17" t="s">
        <v>439</v>
      </c>
      <c r="I22" s="10" t="s">
        <v>439</v>
      </c>
      <c r="J22" s="4"/>
      <c r="K22" s="4"/>
      <c r="N22" s="95">
        <v>0.1875</v>
      </c>
      <c r="O22" s="20"/>
      <c r="P22" s="20"/>
      <c r="Q22" s="20"/>
      <c r="R22" s="20"/>
      <c r="S22" s="20"/>
      <c r="T22" s="20"/>
      <c r="U22" s="45"/>
    </row>
    <row r="23" spans="4:21" x14ac:dyDescent="0.2">
      <c r="D23" s="252" t="s">
        <v>439</v>
      </c>
      <c r="E23" s="16" t="s">
        <v>439</v>
      </c>
      <c r="F23" s="279" t="s">
        <v>439</v>
      </c>
      <c r="G23" s="279" t="s">
        <v>439</v>
      </c>
      <c r="H23" s="17" t="s">
        <v>439</v>
      </c>
      <c r="I23" s="10" t="s">
        <v>439</v>
      </c>
      <c r="J23" s="4"/>
      <c r="K23" s="4"/>
      <c r="N23" s="96">
        <v>0.20833333333333301</v>
      </c>
      <c r="O23" s="20"/>
      <c r="P23" s="20"/>
      <c r="Q23" s="20"/>
      <c r="R23" s="20"/>
      <c r="S23" s="20"/>
      <c r="T23" s="20"/>
      <c r="U23" s="45"/>
    </row>
    <row r="24" spans="4:21" x14ac:dyDescent="0.2">
      <c r="D24" s="252" t="s">
        <v>439</v>
      </c>
      <c r="E24" s="16" t="s">
        <v>439</v>
      </c>
      <c r="F24" s="279" t="s">
        <v>439</v>
      </c>
      <c r="G24" s="279" t="s">
        <v>439</v>
      </c>
      <c r="H24" s="17" t="s">
        <v>439</v>
      </c>
      <c r="I24" s="10" t="s">
        <v>439</v>
      </c>
      <c r="J24" s="4"/>
      <c r="K24" s="4"/>
      <c r="N24" s="95">
        <v>0.22916666666666699</v>
      </c>
      <c r="O24" s="20"/>
      <c r="P24" s="20"/>
      <c r="Q24" s="20"/>
      <c r="R24" s="20"/>
      <c r="S24" s="20"/>
      <c r="T24" s="20"/>
      <c r="U24" s="45"/>
    </row>
    <row r="25" spans="4:21" x14ac:dyDescent="0.2">
      <c r="D25" s="252" t="s">
        <v>439</v>
      </c>
      <c r="E25" s="16" t="s">
        <v>439</v>
      </c>
      <c r="F25" s="279" t="s">
        <v>439</v>
      </c>
      <c r="G25" s="279" t="s">
        <v>439</v>
      </c>
      <c r="H25" s="17" t="s">
        <v>439</v>
      </c>
      <c r="I25" s="10" t="s">
        <v>439</v>
      </c>
      <c r="J25" s="4"/>
      <c r="K25" s="4"/>
      <c r="N25" s="96">
        <v>0.25</v>
      </c>
      <c r="O25" s="20"/>
      <c r="P25" s="20"/>
      <c r="Q25" s="20"/>
      <c r="R25" s="20"/>
      <c r="S25" s="20"/>
      <c r="T25" s="20"/>
      <c r="U25" s="45"/>
    </row>
    <row r="26" spans="4:21" x14ac:dyDescent="0.2">
      <c r="D26" s="252" t="s">
        <v>439</v>
      </c>
      <c r="E26" s="16" t="s">
        <v>439</v>
      </c>
      <c r="F26" s="279" t="s">
        <v>439</v>
      </c>
      <c r="G26" s="279" t="s">
        <v>439</v>
      </c>
      <c r="H26" s="17" t="s">
        <v>439</v>
      </c>
      <c r="I26" s="10" t="s">
        <v>439</v>
      </c>
      <c r="J26" s="4"/>
      <c r="K26" s="4"/>
      <c r="N26" s="95">
        <v>0.27083333333333298</v>
      </c>
      <c r="O26" s="20"/>
      <c r="P26" s="20"/>
      <c r="Q26" s="20"/>
      <c r="R26" s="20"/>
      <c r="S26" s="20"/>
      <c r="T26" s="20"/>
      <c r="U26" s="45"/>
    </row>
    <row r="27" spans="4:21" x14ac:dyDescent="0.2">
      <c r="D27" s="252" t="s">
        <v>439</v>
      </c>
      <c r="E27" s="16" t="s">
        <v>439</v>
      </c>
      <c r="F27" s="279" t="s">
        <v>439</v>
      </c>
      <c r="G27" s="279" t="s">
        <v>439</v>
      </c>
      <c r="H27" s="17" t="s">
        <v>439</v>
      </c>
      <c r="I27" s="10" t="s">
        <v>439</v>
      </c>
      <c r="J27" s="4"/>
      <c r="K27" s="4"/>
      <c r="N27" s="96">
        <v>0.29166666666666702</v>
      </c>
      <c r="O27" s="20"/>
      <c r="P27" s="20"/>
      <c r="Q27" s="20"/>
      <c r="R27" s="20"/>
      <c r="S27" s="20"/>
      <c r="T27" s="20"/>
      <c r="U27" s="45"/>
    </row>
    <row r="28" spans="4:21" x14ac:dyDescent="0.2">
      <c r="D28" s="252" t="s">
        <v>439</v>
      </c>
      <c r="E28" s="16" t="s">
        <v>439</v>
      </c>
      <c r="F28" s="279" t="s">
        <v>439</v>
      </c>
      <c r="G28" s="279" t="s">
        <v>439</v>
      </c>
      <c r="H28" s="17" t="s">
        <v>439</v>
      </c>
      <c r="I28" s="10" t="s">
        <v>439</v>
      </c>
      <c r="J28" s="4"/>
      <c r="K28" s="4"/>
      <c r="N28" s="95">
        <v>0.3125</v>
      </c>
      <c r="O28" s="20"/>
      <c r="P28" s="20"/>
      <c r="Q28" s="20"/>
      <c r="R28" s="20"/>
      <c r="S28" s="20"/>
      <c r="T28" s="20"/>
      <c r="U28" s="45"/>
    </row>
    <row r="29" spans="4:21" x14ac:dyDescent="0.2">
      <c r="D29" s="252" t="s">
        <v>439</v>
      </c>
      <c r="E29" s="16" t="s">
        <v>439</v>
      </c>
      <c r="F29" s="279" t="s">
        <v>439</v>
      </c>
      <c r="G29" s="279" t="s">
        <v>439</v>
      </c>
      <c r="H29" s="17" t="s">
        <v>439</v>
      </c>
      <c r="I29" s="10" t="s">
        <v>439</v>
      </c>
      <c r="J29" s="4"/>
      <c r="K29" s="4"/>
      <c r="N29" s="96">
        <v>0.33333333333333298</v>
      </c>
      <c r="O29" s="20"/>
      <c r="P29" s="20"/>
      <c r="Q29" s="20"/>
      <c r="R29" s="20"/>
      <c r="S29" s="20"/>
      <c r="T29" s="20"/>
      <c r="U29" s="45"/>
    </row>
    <row r="30" spans="4:21" x14ac:dyDescent="0.2">
      <c r="D30" s="252" t="s">
        <v>439</v>
      </c>
      <c r="E30" s="16" t="s">
        <v>439</v>
      </c>
      <c r="F30" s="279" t="s">
        <v>439</v>
      </c>
      <c r="G30" s="279" t="s">
        <v>439</v>
      </c>
      <c r="H30" s="17" t="s">
        <v>439</v>
      </c>
      <c r="I30" s="10" t="s">
        <v>439</v>
      </c>
      <c r="J30" s="4"/>
      <c r="K30" s="4"/>
      <c r="N30" s="95">
        <v>0.35416666666666702</v>
      </c>
      <c r="O30" s="20"/>
      <c r="P30" s="20"/>
      <c r="Q30" s="20"/>
      <c r="R30" s="20"/>
      <c r="S30" s="20"/>
      <c r="T30" s="20"/>
      <c r="U30" s="45"/>
    </row>
    <row r="31" spans="4:21" x14ac:dyDescent="0.2">
      <c r="D31" s="252" t="s">
        <v>439</v>
      </c>
      <c r="E31" s="16" t="s">
        <v>439</v>
      </c>
      <c r="F31" s="279" t="s">
        <v>439</v>
      </c>
      <c r="G31" s="279" t="s">
        <v>439</v>
      </c>
      <c r="H31" s="17" t="s">
        <v>439</v>
      </c>
      <c r="I31" s="10" t="s">
        <v>439</v>
      </c>
      <c r="J31" s="4"/>
      <c r="K31" s="4"/>
      <c r="N31" s="96">
        <v>0.375</v>
      </c>
      <c r="O31" s="20"/>
      <c r="P31" s="20"/>
      <c r="Q31" s="20"/>
      <c r="R31" s="20"/>
      <c r="S31" s="20"/>
      <c r="T31" s="20"/>
      <c r="U31" s="45"/>
    </row>
    <row r="32" spans="4:21" x14ac:dyDescent="0.2">
      <c r="D32" s="252" t="s">
        <v>439</v>
      </c>
      <c r="E32" s="16" t="s">
        <v>439</v>
      </c>
      <c r="F32" s="279" t="s">
        <v>439</v>
      </c>
      <c r="G32" s="279" t="s">
        <v>439</v>
      </c>
      <c r="H32" s="17" t="s">
        <v>439</v>
      </c>
      <c r="I32" s="10" t="s">
        <v>439</v>
      </c>
      <c r="J32" s="4"/>
      <c r="K32" s="4"/>
      <c r="N32" s="95">
        <v>0.39583333333333298</v>
      </c>
      <c r="O32" s="20"/>
      <c r="P32" s="20"/>
      <c r="Q32" s="20"/>
      <c r="R32" s="20"/>
      <c r="S32" s="20"/>
      <c r="T32" s="20"/>
      <c r="U32" s="45"/>
    </row>
    <row r="33" spans="4:21" x14ac:dyDescent="0.2">
      <c r="D33" s="252" t="s">
        <v>439</v>
      </c>
      <c r="E33" s="16" t="s">
        <v>439</v>
      </c>
      <c r="F33" s="279" t="s">
        <v>439</v>
      </c>
      <c r="G33" s="279" t="s">
        <v>439</v>
      </c>
      <c r="H33" s="17" t="s">
        <v>439</v>
      </c>
      <c r="I33" s="10" t="s">
        <v>439</v>
      </c>
      <c r="J33" s="4"/>
      <c r="K33" s="4"/>
      <c r="N33" s="96">
        <v>0.41666666666666669</v>
      </c>
      <c r="O33" s="20"/>
      <c r="P33" s="20"/>
      <c r="Q33" s="20"/>
      <c r="R33" s="20"/>
      <c r="S33" s="20"/>
      <c r="T33" s="20"/>
      <c r="U33" s="45"/>
    </row>
    <row r="34" spans="4:21" x14ac:dyDescent="0.2">
      <c r="D34" s="252" t="s">
        <v>439</v>
      </c>
      <c r="E34" s="16" t="s">
        <v>439</v>
      </c>
      <c r="F34" s="279" t="s">
        <v>439</v>
      </c>
      <c r="G34" s="279" t="s">
        <v>439</v>
      </c>
      <c r="H34" s="17" t="s">
        <v>439</v>
      </c>
      <c r="I34" s="10" t="s">
        <v>439</v>
      </c>
      <c r="J34" s="4"/>
      <c r="K34" s="4"/>
      <c r="N34" s="95">
        <v>0.4375</v>
      </c>
      <c r="O34" s="20"/>
      <c r="P34" s="20"/>
      <c r="Q34" s="20"/>
      <c r="R34" s="20"/>
      <c r="S34" s="20"/>
      <c r="T34" s="20"/>
      <c r="U34" s="45"/>
    </row>
    <row r="35" spans="4:21" x14ac:dyDescent="0.2">
      <c r="D35" s="252" t="s">
        <v>439</v>
      </c>
      <c r="E35" s="16" t="s">
        <v>439</v>
      </c>
      <c r="F35" s="279" t="s">
        <v>439</v>
      </c>
      <c r="G35" s="279" t="s">
        <v>439</v>
      </c>
      <c r="H35" s="17" t="s">
        <v>439</v>
      </c>
      <c r="I35" s="10" t="s">
        <v>439</v>
      </c>
      <c r="J35" s="4"/>
      <c r="K35" s="4"/>
      <c r="N35" s="96">
        <v>0.45833333333333298</v>
      </c>
      <c r="O35" s="20"/>
      <c r="P35" s="20"/>
      <c r="Q35" s="20"/>
      <c r="R35" s="20"/>
      <c r="S35" s="20"/>
      <c r="T35" s="20"/>
      <c r="U35" s="45"/>
    </row>
    <row r="36" spans="4:21" x14ac:dyDescent="0.2">
      <c r="D36" s="252" t="s">
        <v>439</v>
      </c>
      <c r="E36" s="16" t="s">
        <v>439</v>
      </c>
      <c r="F36" s="279" t="s">
        <v>439</v>
      </c>
      <c r="G36" s="279" t="s">
        <v>439</v>
      </c>
      <c r="H36" s="17" t="s">
        <v>439</v>
      </c>
      <c r="I36" s="10" t="s">
        <v>439</v>
      </c>
      <c r="J36" s="4"/>
      <c r="K36" s="4"/>
      <c r="N36" s="95">
        <v>0.47916666666666702</v>
      </c>
      <c r="O36" s="20"/>
      <c r="P36" s="20"/>
      <c r="Q36" s="20"/>
      <c r="R36" s="20"/>
      <c r="S36" s="20"/>
      <c r="T36" s="20"/>
      <c r="U36" s="45"/>
    </row>
    <row r="37" spans="4:21" x14ac:dyDescent="0.2">
      <c r="D37" s="252" t="s">
        <v>439</v>
      </c>
      <c r="E37" s="16" t="s">
        <v>439</v>
      </c>
      <c r="F37" s="279" t="s">
        <v>439</v>
      </c>
      <c r="G37" s="279" t="s">
        <v>439</v>
      </c>
      <c r="H37" s="17" t="s">
        <v>439</v>
      </c>
      <c r="I37" s="10" t="s">
        <v>439</v>
      </c>
      <c r="J37" s="4"/>
      <c r="K37" s="4"/>
      <c r="N37" s="96">
        <v>0.5</v>
      </c>
      <c r="O37" s="20"/>
      <c r="P37" s="20"/>
      <c r="Q37" s="20"/>
      <c r="R37" s="20"/>
      <c r="S37" s="20"/>
      <c r="T37" s="20"/>
      <c r="U37" s="45"/>
    </row>
    <row r="38" spans="4:21" x14ac:dyDescent="0.2">
      <c r="D38" s="252" t="s">
        <v>439</v>
      </c>
      <c r="E38" s="16" t="s">
        <v>439</v>
      </c>
      <c r="F38" s="279" t="s">
        <v>439</v>
      </c>
      <c r="G38" s="279" t="s">
        <v>439</v>
      </c>
      <c r="H38" s="17" t="s">
        <v>439</v>
      </c>
      <c r="I38" s="10" t="s">
        <v>439</v>
      </c>
      <c r="J38" s="4"/>
      <c r="N38" s="95">
        <v>0.52083333333333304</v>
      </c>
      <c r="O38" s="20"/>
      <c r="P38" s="20"/>
      <c r="Q38" s="20"/>
      <c r="R38" s="20"/>
      <c r="S38" s="20"/>
      <c r="T38" s="20"/>
      <c r="U38" s="45"/>
    </row>
    <row r="39" spans="4:21" x14ac:dyDescent="0.2">
      <c r="D39" s="252" t="s">
        <v>439</v>
      </c>
      <c r="E39" s="16" t="s">
        <v>439</v>
      </c>
      <c r="F39" s="279" t="s">
        <v>439</v>
      </c>
      <c r="G39" s="279" t="s">
        <v>439</v>
      </c>
      <c r="H39" s="17" t="s">
        <v>439</v>
      </c>
      <c r="I39" s="10" t="s">
        <v>439</v>
      </c>
      <c r="J39" s="4"/>
      <c r="N39" s="96">
        <v>0.54166666666666696</v>
      </c>
      <c r="O39" s="20"/>
      <c r="P39" s="20"/>
      <c r="Q39" s="20"/>
      <c r="R39" s="20"/>
      <c r="S39" s="20"/>
      <c r="T39" s="20"/>
      <c r="U39" s="45"/>
    </row>
    <row r="40" spans="4:21" x14ac:dyDescent="0.2">
      <c r="D40" s="252" t="s">
        <v>439</v>
      </c>
      <c r="E40" s="16" t="s">
        <v>439</v>
      </c>
      <c r="F40" s="279" t="s">
        <v>439</v>
      </c>
      <c r="G40" s="279" t="s">
        <v>439</v>
      </c>
      <c r="H40" s="17" t="s">
        <v>439</v>
      </c>
      <c r="I40" s="10" t="s">
        <v>439</v>
      </c>
      <c r="J40" s="4"/>
      <c r="N40" s="95">
        <v>0.5625</v>
      </c>
      <c r="O40" s="20"/>
      <c r="P40" s="20"/>
      <c r="Q40" s="20"/>
      <c r="R40" s="20"/>
      <c r="S40" s="20"/>
      <c r="T40" s="20"/>
      <c r="U40" s="45"/>
    </row>
    <row r="41" spans="4:21" x14ac:dyDescent="0.2">
      <c r="D41" s="252" t="s">
        <v>439</v>
      </c>
      <c r="E41" s="16" t="s">
        <v>439</v>
      </c>
      <c r="F41" s="279" t="s">
        <v>439</v>
      </c>
      <c r="G41" s="279" t="s">
        <v>439</v>
      </c>
      <c r="H41" s="17" t="s">
        <v>439</v>
      </c>
      <c r="I41" s="10" t="s">
        <v>439</v>
      </c>
      <c r="J41" s="4"/>
      <c r="N41" s="96">
        <v>0.58333333333333304</v>
      </c>
      <c r="O41" s="20"/>
      <c r="P41" s="20"/>
      <c r="Q41" s="20"/>
      <c r="R41" s="20"/>
      <c r="S41" s="20"/>
      <c r="T41" s="20"/>
      <c r="U41" s="45"/>
    </row>
    <row r="42" spans="4:21" x14ac:dyDescent="0.2">
      <c r="D42" s="252" t="s">
        <v>439</v>
      </c>
      <c r="E42" s="16" t="s">
        <v>439</v>
      </c>
      <c r="F42" s="279" t="s">
        <v>439</v>
      </c>
      <c r="G42" s="279" t="s">
        <v>439</v>
      </c>
      <c r="H42" s="17" t="s">
        <v>439</v>
      </c>
      <c r="I42" s="10" t="s">
        <v>439</v>
      </c>
      <c r="J42" s="4"/>
      <c r="N42" s="95">
        <v>0.60416666666666696</v>
      </c>
      <c r="O42" s="20"/>
      <c r="P42" s="20"/>
      <c r="Q42" s="20"/>
      <c r="R42" s="20"/>
      <c r="S42" s="20"/>
      <c r="T42" s="20"/>
      <c r="U42" s="45"/>
    </row>
    <row r="43" spans="4:21" x14ac:dyDescent="0.2">
      <c r="D43" s="252" t="s">
        <v>439</v>
      </c>
      <c r="E43" s="16" t="s">
        <v>439</v>
      </c>
      <c r="F43" s="279" t="s">
        <v>439</v>
      </c>
      <c r="G43" s="279" t="s">
        <v>439</v>
      </c>
      <c r="H43" s="17" t="s">
        <v>439</v>
      </c>
      <c r="I43" s="10" t="s">
        <v>439</v>
      </c>
      <c r="J43" s="4"/>
      <c r="N43" s="96">
        <v>0.625000000000001</v>
      </c>
      <c r="O43" s="20"/>
      <c r="P43" s="20"/>
      <c r="Q43" s="20"/>
      <c r="R43" s="20"/>
      <c r="S43" s="20"/>
      <c r="T43" s="20"/>
      <c r="U43" s="45"/>
    </row>
    <row r="44" spans="4:21" x14ac:dyDescent="0.2">
      <c r="D44" s="252" t="s">
        <v>439</v>
      </c>
      <c r="E44" s="16" t="s">
        <v>439</v>
      </c>
      <c r="F44" s="279" t="s">
        <v>439</v>
      </c>
      <c r="G44" s="279" t="s">
        <v>439</v>
      </c>
      <c r="H44" s="17" t="s">
        <v>439</v>
      </c>
      <c r="I44" s="10" t="s">
        <v>439</v>
      </c>
      <c r="J44" s="4"/>
      <c r="N44" s="95">
        <v>0.64583333333333504</v>
      </c>
      <c r="O44" s="20"/>
      <c r="P44" s="20"/>
      <c r="Q44" s="20"/>
      <c r="R44" s="20"/>
      <c r="S44" s="20"/>
      <c r="T44" s="20"/>
      <c r="U44" s="45"/>
    </row>
    <row r="45" spans="4:21" x14ac:dyDescent="0.2">
      <c r="D45" s="252" t="s">
        <v>439</v>
      </c>
      <c r="E45" s="16" t="s">
        <v>439</v>
      </c>
      <c r="F45" s="279" t="s">
        <v>439</v>
      </c>
      <c r="G45" s="279" t="s">
        <v>439</v>
      </c>
      <c r="H45" s="17" t="s">
        <v>439</v>
      </c>
      <c r="I45" s="10" t="s">
        <v>439</v>
      </c>
      <c r="J45" s="4"/>
      <c r="N45" s="96">
        <v>0.66666666666666663</v>
      </c>
      <c r="O45" s="20"/>
      <c r="P45" s="20"/>
      <c r="Q45" s="20"/>
      <c r="R45" s="20"/>
      <c r="S45" s="20"/>
      <c r="T45" s="20"/>
      <c r="U45" s="45"/>
    </row>
    <row r="46" spans="4:21" x14ac:dyDescent="0.2">
      <c r="D46" s="252" t="s">
        <v>439</v>
      </c>
      <c r="E46" s="16" t="s">
        <v>439</v>
      </c>
      <c r="F46" s="279" t="s">
        <v>439</v>
      </c>
      <c r="G46" s="279" t="s">
        <v>439</v>
      </c>
      <c r="H46" s="17" t="s">
        <v>439</v>
      </c>
      <c r="I46" s="10" t="s">
        <v>439</v>
      </c>
      <c r="J46" s="4"/>
      <c r="N46" s="95">
        <v>0.687500000000003</v>
      </c>
      <c r="O46" s="20"/>
      <c r="P46" s="20"/>
      <c r="Q46" s="20"/>
      <c r="R46" s="20"/>
      <c r="S46" s="20"/>
      <c r="T46" s="20"/>
      <c r="U46" s="45"/>
    </row>
    <row r="47" spans="4:21" x14ac:dyDescent="0.2">
      <c r="D47" s="252" t="s">
        <v>439</v>
      </c>
      <c r="E47" s="16" t="s">
        <v>439</v>
      </c>
      <c r="F47" s="279" t="s">
        <v>439</v>
      </c>
      <c r="G47" s="279" t="s">
        <v>439</v>
      </c>
      <c r="H47" s="17" t="s">
        <v>439</v>
      </c>
      <c r="I47" s="10" t="s">
        <v>439</v>
      </c>
      <c r="J47" s="4"/>
      <c r="N47" s="96">
        <v>0.70833333333333337</v>
      </c>
      <c r="O47" s="20"/>
      <c r="P47" s="20"/>
      <c r="Q47" s="20"/>
      <c r="R47" s="20"/>
      <c r="S47" s="20"/>
      <c r="T47" s="20"/>
      <c r="U47" s="45"/>
    </row>
    <row r="48" spans="4:21" x14ac:dyDescent="0.2">
      <c r="D48" s="252" t="s">
        <v>439</v>
      </c>
      <c r="E48" s="16" t="s">
        <v>439</v>
      </c>
      <c r="F48" s="279" t="s">
        <v>439</v>
      </c>
      <c r="G48" s="279" t="s">
        <v>439</v>
      </c>
      <c r="H48" s="17" t="s">
        <v>439</v>
      </c>
      <c r="I48" s="10" t="s">
        <v>439</v>
      </c>
      <c r="J48" s="4"/>
      <c r="N48" s="95">
        <v>0.72916666666666996</v>
      </c>
      <c r="O48" s="20"/>
      <c r="P48" s="20"/>
      <c r="Q48" s="20"/>
      <c r="R48" s="20"/>
      <c r="S48" s="20"/>
      <c r="T48" s="20"/>
      <c r="U48" s="45"/>
    </row>
    <row r="49" spans="4:21" x14ac:dyDescent="0.2">
      <c r="D49" s="252" t="s">
        <v>439</v>
      </c>
      <c r="E49" s="16" t="s">
        <v>439</v>
      </c>
      <c r="F49" s="279" t="s">
        <v>439</v>
      </c>
      <c r="G49" s="279" t="s">
        <v>439</v>
      </c>
      <c r="H49" s="17" t="s">
        <v>439</v>
      </c>
      <c r="I49" s="10" t="s">
        <v>439</v>
      </c>
      <c r="J49" s="4"/>
      <c r="N49" s="96">
        <v>0.75</v>
      </c>
      <c r="O49" s="20"/>
      <c r="P49" s="20"/>
      <c r="Q49" s="20"/>
      <c r="R49" s="20"/>
      <c r="S49" s="20"/>
      <c r="T49" s="20"/>
      <c r="U49" s="45"/>
    </row>
    <row r="50" spans="4:21" x14ac:dyDescent="0.2">
      <c r="D50" s="252" t="s">
        <v>439</v>
      </c>
      <c r="E50" s="16" t="s">
        <v>439</v>
      </c>
      <c r="F50" s="279" t="s">
        <v>439</v>
      </c>
      <c r="G50" s="279" t="s">
        <v>439</v>
      </c>
      <c r="H50" s="17" t="s">
        <v>439</v>
      </c>
      <c r="I50" s="10" t="s">
        <v>439</v>
      </c>
      <c r="J50" s="4"/>
      <c r="N50" s="95">
        <v>0.77083333333333337</v>
      </c>
      <c r="O50" s="20"/>
      <c r="P50" s="20"/>
      <c r="Q50" s="20"/>
      <c r="R50" s="20"/>
      <c r="S50" s="20"/>
      <c r="T50" s="20"/>
      <c r="U50" s="45"/>
    </row>
    <row r="51" spans="4:21" x14ac:dyDescent="0.2">
      <c r="D51" s="252" t="s">
        <v>439</v>
      </c>
      <c r="E51" s="16" t="s">
        <v>439</v>
      </c>
      <c r="F51" s="279" t="s">
        <v>439</v>
      </c>
      <c r="G51" s="279" t="s">
        <v>439</v>
      </c>
      <c r="H51" s="17" t="s">
        <v>439</v>
      </c>
      <c r="I51" s="10" t="s">
        <v>439</v>
      </c>
      <c r="J51" s="4"/>
      <c r="N51" s="96">
        <v>0.79166666666667196</v>
      </c>
      <c r="O51" s="20"/>
      <c r="P51" s="20"/>
      <c r="Q51" s="20"/>
      <c r="R51" s="20"/>
      <c r="S51" s="20"/>
      <c r="T51" s="20"/>
      <c r="U51" s="45"/>
    </row>
    <row r="52" spans="4:21" x14ac:dyDescent="0.2">
      <c r="D52" s="252" t="s">
        <v>439</v>
      </c>
      <c r="E52" s="16" t="s">
        <v>439</v>
      </c>
      <c r="F52" s="279" t="s">
        <v>439</v>
      </c>
      <c r="G52" s="279" t="s">
        <v>439</v>
      </c>
      <c r="H52" s="17" t="s">
        <v>439</v>
      </c>
      <c r="I52" s="10" t="s">
        <v>439</v>
      </c>
      <c r="J52" s="4"/>
      <c r="N52" s="95">
        <v>0.8125</v>
      </c>
      <c r="O52" s="20"/>
      <c r="P52" s="20"/>
      <c r="Q52" s="20"/>
      <c r="R52" s="20"/>
      <c r="S52" s="20"/>
      <c r="T52" s="20"/>
      <c r="U52" s="45"/>
    </row>
    <row r="53" spans="4:21" x14ac:dyDescent="0.2">
      <c r="D53" s="252" t="s">
        <v>439</v>
      </c>
      <c r="E53" s="16" t="s">
        <v>439</v>
      </c>
      <c r="F53" s="279" t="s">
        <v>439</v>
      </c>
      <c r="G53" s="279" t="s">
        <v>439</v>
      </c>
      <c r="H53" s="17" t="s">
        <v>439</v>
      </c>
      <c r="I53" s="10" t="s">
        <v>439</v>
      </c>
      <c r="J53" s="4"/>
      <c r="N53" s="96">
        <v>0.83333333333334003</v>
      </c>
      <c r="O53" s="20"/>
      <c r="P53" s="20"/>
      <c r="Q53" s="20"/>
      <c r="R53" s="20"/>
      <c r="S53" s="20"/>
      <c r="T53" s="20"/>
      <c r="U53" s="45"/>
    </row>
    <row r="54" spans="4:21" x14ac:dyDescent="0.2">
      <c r="D54" s="252" t="s">
        <v>439</v>
      </c>
      <c r="E54" s="16" t="s">
        <v>439</v>
      </c>
      <c r="F54" s="279" t="s">
        <v>439</v>
      </c>
      <c r="G54" s="279" t="s">
        <v>439</v>
      </c>
      <c r="H54" s="17" t="s">
        <v>439</v>
      </c>
      <c r="I54" s="10" t="s">
        <v>439</v>
      </c>
      <c r="J54" s="4"/>
      <c r="N54" s="95">
        <v>0.85416666666666663</v>
      </c>
      <c r="O54" s="20"/>
      <c r="P54" s="20"/>
      <c r="Q54" s="20"/>
      <c r="R54" s="20"/>
      <c r="S54" s="20"/>
      <c r="T54" s="20"/>
      <c r="U54" s="45"/>
    </row>
    <row r="55" spans="4:21" x14ac:dyDescent="0.2">
      <c r="D55" s="252" t="s">
        <v>439</v>
      </c>
      <c r="E55" s="16" t="s">
        <v>439</v>
      </c>
      <c r="F55" s="279" t="s">
        <v>439</v>
      </c>
      <c r="G55" s="279" t="s">
        <v>439</v>
      </c>
      <c r="H55" s="17" t="s">
        <v>439</v>
      </c>
      <c r="I55" s="10" t="s">
        <v>439</v>
      </c>
      <c r="J55" s="4" t="str">
        <f t="shared" ref="J55:J79" si="2">IF(F55="","",COUNTIF($F$16:$F$125,F55))</f>
        <v/>
      </c>
      <c r="N55" s="96">
        <v>0.875</v>
      </c>
      <c r="O55" s="20"/>
      <c r="P55" s="20"/>
      <c r="Q55" s="20"/>
      <c r="R55" s="20"/>
      <c r="S55" s="20"/>
      <c r="T55" s="20"/>
      <c r="U55" s="45"/>
    </row>
    <row r="56" spans="4:21" x14ac:dyDescent="0.2">
      <c r="D56" s="252" t="s">
        <v>439</v>
      </c>
      <c r="E56" s="16" t="s">
        <v>439</v>
      </c>
      <c r="F56" s="279" t="s">
        <v>439</v>
      </c>
      <c r="G56" s="279" t="s">
        <v>439</v>
      </c>
      <c r="H56" s="17" t="s">
        <v>439</v>
      </c>
      <c r="I56" s="10" t="s">
        <v>439</v>
      </c>
      <c r="J56" s="4" t="str">
        <f t="shared" si="2"/>
        <v/>
      </c>
      <c r="N56" s="96">
        <v>0.89583333333333337</v>
      </c>
      <c r="O56" s="20"/>
      <c r="P56" s="20"/>
      <c r="Q56" s="20"/>
      <c r="R56" s="20"/>
      <c r="S56" s="20"/>
      <c r="T56" s="20"/>
      <c r="U56" s="45"/>
    </row>
    <row r="57" spans="4:21" x14ac:dyDescent="0.2">
      <c r="D57" s="252" t="s">
        <v>439</v>
      </c>
      <c r="E57" s="16" t="s">
        <v>439</v>
      </c>
      <c r="F57" s="279" t="s">
        <v>439</v>
      </c>
      <c r="G57" s="279" t="s">
        <v>439</v>
      </c>
      <c r="H57" s="17" t="s">
        <v>439</v>
      </c>
      <c r="I57" s="10" t="s">
        <v>439</v>
      </c>
      <c r="J57" s="4" t="str">
        <f t="shared" si="2"/>
        <v/>
      </c>
      <c r="N57" s="96">
        <v>0.91666666666666663</v>
      </c>
      <c r="O57" s="20"/>
      <c r="P57" s="20"/>
      <c r="Q57" s="20"/>
      <c r="R57" s="20"/>
      <c r="S57" s="20"/>
      <c r="T57" s="20"/>
      <c r="U57" s="45"/>
    </row>
    <row r="58" spans="4:21" x14ac:dyDescent="0.2">
      <c r="D58" s="252" t="s">
        <v>439</v>
      </c>
      <c r="E58" s="16" t="s">
        <v>439</v>
      </c>
      <c r="F58" s="279" t="s">
        <v>439</v>
      </c>
      <c r="G58" s="279" t="s">
        <v>439</v>
      </c>
      <c r="H58" s="17" t="s">
        <v>439</v>
      </c>
      <c r="I58" s="10" t="s">
        <v>439</v>
      </c>
      <c r="J58" s="4" t="str">
        <f t="shared" si="2"/>
        <v/>
      </c>
      <c r="N58" s="95">
        <v>0.9375</v>
      </c>
      <c r="O58" s="20"/>
      <c r="P58" s="20"/>
      <c r="Q58" s="20"/>
      <c r="R58" s="20"/>
      <c r="S58" s="20"/>
      <c r="T58" s="20"/>
      <c r="U58" s="45"/>
    </row>
    <row r="59" spans="4:21" x14ac:dyDescent="0.2">
      <c r="D59" s="252" t="s">
        <v>439</v>
      </c>
      <c r="E59" s="16" t="s">
        <v>439</v>
      </c>
      <c r="F59" s="279" t="s">
        <v>439</v>
      </c>
      <c r="G59" s="279" t="s">
        <v>439</v>
      </c>
      <c r="H59" s="17" t="s">
        <v>439</v>
      </c>
      <c r="I59" s="10" t="s">
        <v>439</v>
      </c>
      <c r="J59" s="4" t="str">
        <f t="shared" si="2"/>
        <v/>
      </c>
      <c r="N59" s="96">
        <v>0.95833333333333337</v>
      </c>
      <c r="O59" s="20"/>
      <c r="P59" s="20"/>
      <c r="Q59" s="20"/>
      <c r="R59" s="20"/>
      <c r="S59" s="20"/>
      <c r="T59" s="20"/>
      <c r="U59" s="45"/>
    </row>
    <row r="60" spans="4:21" ht="13.5" thickBot="1" x14ac:dyDescent="0.25">
      <c r="D60" s="252" t="s">
        <v>439</v>
      </c>
      <c r="E60" s="16" t="s">
        <v>439</v>
      </c>
      <c r="F60" s="279" t="s">
        <v>439</v>
      </c>
      <c r="G60" s="279" t="s">
        <v>439</v>
      </c>
      <c r="H60" s="17" t="s">
        <v>439</v>
      </c>
      <c r="I60" s="10" t="s">
        <v>439</v>
      </c>
      <c r="J60" s="4" t="str">
        <f t="shared" si="2"/>
        <v/>
      </c>
      <c r="N60" s="97">
        <v>0.97916666666666663</v>
      </c>
      <c r="O60" s="46"/>
      <c r="P60" s="46"/>
      <c r="Q60" s="46"/>
      <c r="R60" s="46"/>
      <c r="S60" s="46"/>
      <c r="T60" s="46"/>
      <c r="U60" s="47"/>
    </row>
    <row r="61" spans="4:21" x14ac:dyDescent="0.2">
      <c r="D61" s="252" t="s">
        <v>439</v>
      </c>
      <c r="E61" s="16" t="s">
        <v>439</v>
      </c>
      <c r="F61" s="279" t="s">
        <v>439</v>
      </c>
      <c r="G61" s="279" t="s">
        <v>439</v>
      </c>
      <c r="H61" s="17" t="s">
        <v>439</v>
      </c>
      <c r="I61" s="10" t="s">
        <v>439</v>
      </c>
      <c r="J61" s="4" t="str">
        <f t="shared" si="2"/>
        <v/>
      </c>
    </row>
    <row r="62" spans="4:21" x14ac:dyDescent="0.2">
      <c r="D62" s="252" t="s">
        <v>439</v>
      </c>
      <c r="E62" s="16" t="s">
        <v>439</v>
      </c>
      <c r="F62" s="279" t="s">
        <v>439</v>
      </c>
      <c r="G62" s="279" t="s">
        <v>439</v>
      </c>
      <c r="H62" s="17" t="s">
        <v>439</v>
      </c>
      <c r="I62" s="10" t="s">
        <v>439</v>
      </c>
      <c r="J62" s="4" t="str">
        <f t="shared" si="2"/>
        <v/>
      </c>
    </row>
    <row r="63" spans="4:21" x14ac:dyDescent="0.2">
      <c r="D63" s="252" t="s">
        <v>439</v>
      </c>
      <c r="E63" s="16" t="s">
        <v>439</v>
      </c>
      <c r="F63" s="279" t="s">
        <v>439</v>
      </c>
      <c r="G63" s="279" t="s">
        <v>439</v>
      </c>
      <c r="H63" s="17" t="s">
        <v>439</v>
      </c>
      <c r="I63" s="10" t="s">
        <v>439</v>
      </c>
      <c r="J63" s="4" t="str">
        <f t="shared" si="2"/>
        <v/>
      </c>
    </row>
    <row r="64" spans="4:21" x14ac:dyDescent="0.2">
      <c r="D64" s="252" t="s">
        <v>439</v>
      </c>
      <c r="E64" s="16" t="s">
        <v>439</v>
      </c>
      <c r="F64" s="279" t="s">
        <v>439</v>
      </c>
      <c r="G64" s="279" t="s">
        <v>439</v>
      </c>
      <c r="H64" s="17" t="s">
        <v>439</v>
      </c>
      <c r="I64" s="10" t="s">
        <v>439</v>
      </c>
      <c r="J64" s="4" t="str">
        <f t="shared" si="2"/>
        <v/>
      </c>
    </row>
    <row r="65" spans="4:10" x14ac:dyDescent="0.2">
      <c r="D65" s="252" t="s">
        <v>439</v>
      </c>
      <c r="E65" s="16" t="s">
        <v>439</v>
      </c>
      <c r="F65" s="279" t="s">
        <v>439</v>
      </c>
      <c r="G65" s="279" t="s">
        <v>439</v>
      </c>
      <c r="H65" s="17" t="s">
        <v>439</v>
      </c>
      <c r="I65" s="10" t="s">
        <v>439</v>
      </c>
      <c r="J65" s="4" t="str">
        <f t="shared" si="2"/>
        <v/>
      </c>
    </row>
    <row r="66" spans="4:10" x14ac:dyDescent="0.2">
      <c r="D66" s="252" t="s">
        <v>439</v>
      </c>
      <c r="E66" s="16" t="s">
        <v>439</v>
      </c>
      <c r="F66" s="279" t="s">
        <v>439</v>
      </c>
      <c r="G66" s="279" t="s">
        <v>439</v>
      </c>
      <c r="H66" s="17" t="s">
        <v>439</v>
      </c>
      <c r="I66" s="10" t="s">
        <v>439</v>
      </c>
      <c r="J66" s="4" t="str">
        <f t="shared" si="2"/>
        <v/>
      </c>
    </row>
    <row r="67" spans="4:10" x14ac:dyDescent="0.2">
      <c r="D67" s="252" t="s">
        <v>439</v>
      </c>
      <c r="E67" s="16" t="s">
        <v>439</v>
      </c>
      <c r="F67" s="279" t="s">
        <v>439</v>
      </c>
      <c r="G67" s="279" t="s">
        <v>439</v>
      </c>
      <c r="H67" s="17" t="s">
        <v>439</v>
      </c>
      <c r="I67" s="10" t="s">
        <v>439</v>
      </c>
      <c r="J67" s="4" t="str">
        <f t="shared" si="2"/>
        <v/>
      </c>
    </row>
    <row r="68" spans="4:10" x14ac:dyDescent="0.2">
      <c r="D68" s="252" t="s">
        <v>439</v>
      </c>
      <c r="E68" s="16" t="s">
        <v>439</v>
      </c>
      <c r="F68" s="279" t="s">
        <v>439</v>
      </c>
      <c r="G68" s="279" t="s">
        <v>439</v>
      </c>
      <c r="H68" s="17" t="s">
        <v>439</v>
      </c>
      <c r="I68" s="10" t="s">
        <v>439</v>
      </c>
      <c r="J68" s="4" t="str">
        <f t="shared" si="2"/>
        <v/>
      </c>
    </row>
    <row r="69" spans="4:10" x14ac:dyDescent="0.2">
      <c r="D69" s="252" t="s">
        <v>439</v>
      </c>
      <c r="E69" s="16" t="s">
        <v>439</v>
      </c>
      <c r="F69" s="279" t="s">
        <v>439</v>
      </c>
      <c r="G69" s="279" t="s">
        <v>439</v>
      </c>
      <c r="H69" s="17" t="s">
        <v>439</v>
      </c>
      <c r="I69" s="10" t="s">
        <v>439</v>
      </c>
      <c r="J69" s="4" t="str">
        <f t="shared" si="2"/>
        <v/>
      </c>
    </row>
    <row r="70" spans="4:10" x14ac:dyDescent="0.2">
      <c r="D70" s="252" t="s">
        <v>439</v>
      </c>
      <c r="E70" s="16" t="s">
        <v>439</v>
      </c>
      <c r="F70" s="279" t="s">
        <v>439</v>
      </c>
      <c r="G70" s="279" t="s">
        <v>439</v>
      </c>
      <c r="H70" s="17" t="s">
        <v>439</v>
      </c>
      <c r="I70" s="10" t="s">
        <v>439</v>
      </c>
      <c r="J70" s="4" t="str">
        <f t="shared" si="2"/>
        <v/>
      </c>
    </row>
    <row r="71" spans="4:10" x14ac:dyDescent="0.2">
      <c r="D71" s="252" t="s">
        <v>439</v>
      </c>
      <c r="E71" s="16" t="s">
        <v>439</v>
      </c>
      <c r="F71" s="279" t="s">
        <v>439</v>
      </c>
      <c r="G71" s="279" t="s">
        <v>439</v>
      </c>
      <c r="H71" s="17" t="s">
        <v>439</v>
      </c>
      <c r="I71" s="10" t="s">
        <v>439</v>
      </c>
      <c r="J71" s="4" t="str">
        <f t="shared" si="2"/>
        <v/>
      </c>
    </row>
    <row r="72" spans="4:10" x14ac:dyDescent="0.2">
      <c r="D72" s="252" t="s">
        <v>439</v>
      </c>
      <c r="E72" s="16" t="s">
        <v>439</v>
      </c>
      <c r="F72" s="279" t="s">
        <v>439</v>
      </c>
      <c r="G72" s="279" t="s">
        <v>439</v>
      </c>
      <c r="H72" s="17" t="s">
        <v>439</v>
      </c>
      <c r="I72" s="10" t="s">
        <v>439</v>
      </c>
      <c r="J72" s="4" t="str">
        <f t="shared" si="2"/>
        <v/>
      </c>
    </row>
    <row r="73" spans="4:10" x14ac:dyDescent="0.2">
      <c r="D73" s="252" t="s">
        <v>439</v>
      </c>
      <c r="E73" s="16" t="s">
        <v>439</v>
      </c>
      <c r="F73" s="279" t="s">
        <v>439</v>
      </c>
      <c r="G73" s="279" t="s">
        <v>439</v>
      </c>
      <c r="H73" s="17" t="s">
        <v>439</v>
      </c>
      <c r="I73" s="10" t="s">
        <v>439</v>
      </c>
      <c r="J73" s="4" t="str">
        <f t="shared" si="2"/>
        <v/>
      </c>
    </row>
    <row r="74" spans="4:10" x14ac:dyDescent="0.2">
      <c r="D74" s="252" t="s">
        <v>439</v>
      </c>
      <c r="E74" s="16" t="s">
        <v>439</v>
      </c>
      <c r="F74" s="279" t="s">
        <v>439</v>
      </c>
      <c r="G74" s="279" t="s">
        <v>439</v>
      </c>
      <c r="H74" s="17" t="s">
        <v>439</v>
      </c>
      <c r="I74" s="10" t="s">
        <v>439</v>
      </c>
      <c r="J74" s="4" t="str">
        <f t="shared" si="2"/>
        <v/>
      </c>
    </row>
    <row r="75" spans="4:10" x14ac:dyDescent="0.2">
      <c r="D75" s="252" t="s">
        <v>439</v>
      </c>
      <c r="E75" s="16" t="s">
        <v>439</v>
      </c>
      <c r="F75" s="279" t="s">
        <v>439</v>
      </c>
      <c r="G75" s="279" t="s">
        <v>439</v>
      </c>
      <c r="H75" s="17" t="s">
        <v>439</v>
      </c>
      <c r="I75" s="10" t="s">
        <v>439</v>
      </c>
      <c r="J75" s="4" t="str">
        <f t="shared" si="2"/>
        <v/>
      </c>
    </row>
    <row r="76" spans="4:10" x14ac:dyDescent="0.2">
      <c r="D76" s="252" t="s">
        <v>439</v>
      </c>
      <c r="E76" s="16" t="s">
        <v>439</v>
      </c>
      <c r="F76" s="279" t="s">
        <v>439</v>
      </c>
      <c r="G76" s="279" t="s">
        <v>439</v>
      </c>
      <c r="H76" s="17" t="s">
        <v>439</v>
      </c>
      <c r="I76" s="10" t="s">
        <v>439</v>
      </c>
      <c r="J76" s="4" t="str">
        <f t="shared" si="2"/>
        <v/>
      </c>
    </row>
    <row r="77" spans="4:10" x14ac:dyDescent="0.2">
      <c r="D77" s="252" t="s">
        <v>439</v>
      </c>
      <c r="E77" s="16" t="s">
        <v>439</v>
      </c>
      <c r="F77" s="279" t="s">
        <v>439</v>
      </c>
      <c r="G77" s="279" t="s">
        <v>439</v>
      </c>
      <c r="H77" s="17" t="s">
        <v>439</v>
      </c>
      <c r="I77" s="10" t="s">
        <v>439</v>
      </c>
      <c r="J77" s="4" t="str">
        <f t="shared" si="2"/>
        <v/>
      </c>
    </row>
    <row r="78" spans="4:10" x14ac:dyDescent="0.2">
      <c r="D78" s="252" t="s">
        <v>439</v>
      </c>
      <c r="E78" s="16" t="s">
        <v>439</v>
      </c>
      <c r="F78" s="279" t="s">
        <v>439</v>
      </c>
      <c r="G78" s="279" t="s">
        <v>439</v>
      </c>
      <c r="H78" s="17" t="s">
        <v>439</v>
      </c>
      <c r="I78" s="10" t="s">
        <v>439</v>
      </c>
      <c r="J78" s="4" t="str">
        <f t="shared" si="2"/>
        <v/>
      </c>
    </row>
    <row r="79" spans="4:10" x14ac:dyDescent="0.2">
      <c r="D79" s="252" t="s">
        <v>439</v>
      </c>
      <c r="E79" s="16" t="s">
        <v>439</v>
      </c>
      <c r="F79" s="279" t="s">
        <v>439</v>
      </c>
      <c r="G79" s="279" t="s">
        <v>439</v>
      </c>
      <c r="H79" s="17" t="s">
        <v>439</v>
      </c>
      <c r="I79" s="10" t="s">
        <v>439</v>
      </c>
      <c r="J79" s="4" t="str">
        <f t="shared" si="2"/>
        <v/>
      </c>
    </row>
    <row r="80" spans="4:10" x14ac:dyDescent="0.2">
      <c r="D80" s="252" t="s">
        <v>439</v>
      </c>
      <c r="E80" s="16" t="s">
        <v>439</v>
      </c>
      <c r="F80" s="279" t="s">
        <v>439</v>
      </c>
      <c r="G80" s="279" t="s">
        <v>439</v>
      </c>
      <c r="H80" s="17" t="s">
        <v>439</v>
      </c>
      <c r="I80" s="10" t="s">
        <v>439</v>
      </c>
      <c r="J80" s="4" t="str">
        <f t="shared" ref="J80:J111" si="3">IF(F80="","",COUNTIF($F$16:$F$125,F80))</f>
        <v/>
      </c>
    </row>
    <row r="81" spans="4:10" x14ac:dyDescent="0.2">
      <c r="D81" s="252" t="s">
        <v>439</v>
      </c>
      <c r="E81" s="16" t="s">
        <v>439</v>
      </c>
      <c r="F81" s="279" t="s">
        <v>439</v>
      </c>
      <c r="G81" s="279" t="s">
        <v>439</v>
      </c>
      <c r="H81" s="17" t="s">
        <v>439</v>
      </c>
      <c r="I81" s="10" t="s">
        <v>439</v>
      </c>
      <c r="J81" s="4" t="str">
        <f t="shared" si="3"/>
        <v/>
      </c>
    </row>
    <row r="82" spans="4:10" x14ac:dyDescent="0.2">
      <c r="D82" s="252" t="s">
        <v>439</v>
      </c>
      <c r="E82" s="16" t="s">
        <v>439</v>
      </c>
      <c r="F82" s="279" t="s">
        <v>439</v>
      </c>
      <c r="G82" s="279" t="s">
        <v>439</v>
      </c>
      <c r="H82" s="17" t="s">
        <v>439</v>
      </c>
      <c r="I82" s="10" t="s">
        <v>439</v>
      </c>
      <c r="J82" s="4" t="str">
        <f t="shared" si="3"/>
        <v/>
      </c>
    </row>
    <row r="83" spans="4:10" x14ac:dyDescent="0.2">
      <c r="D83" s="252" t="s">
        <v>439</v>
      </c>
      <c r="E83" s="16" t="s">
        <v>439</v>
      </c>
      <c r="F83" s="279" t="s">
        <v>439</v>
      </c>
      <c r="G83" s="279" t="s">
        <v>439</v>
      </c>
      <c r="H83" s="17" t="s">
        <v>439</v>
      </c>
      <c r="I83" s="10" t="s">
        <v>439</v>
      </c>
      <c r="J83" s="4" t="str">
        <f t="shared" si="3"/>
        <v/>
      </c>
    </row>
    <row r="84" spans="4:10" x14ac:dyDescent="0.2">
      <c r="D84" s="252" t="s">
        <v>439</v>
      </c>
      <c r="E84" s="16" t="s">
        <v>439</v>
      </c>
      <c r="F84" s="279" t="s">
        <v>439</v>
      </c>
      <c r="G84" s="279" t="s">
        <v>439</v>
      </c>
      <c r="H84" s="17" t="s">
        <v>439</v>
      </c>
      <c r="I84" s="10" t="s">
        <v>439</v>
      </c>
      <c r="J84" s="4" t="str">
        <f t="shared" si="3"/>
        <v/>
      </c>
    </row>
    <row r="85" spans="4:10" x14ac:dyDescent="0.2">
      <c r="D85" s="252" t="s">
        <v>439</v>
      </c>
      <c r="E85" s="16" t="s">
        <v>439</v>
      </c>
      <c r="F85" s="279" t="s">
        <v>439</v>
      </c>
      <c r="G85" s="279" t="s">
        <v>439</v>
      </c>
      <c r="H85" s="17" t="s">
        <v>439</v>
      </c>
      <c r="I85" s="10" t="s">
        <v>439</v>
      </c>
      <c r="J85" s="4" t="str">
        <f t="shared" si="3"/>
        <v/>
      </c>
    </row>
    <row r="86" spans="4:10" x14ac:dyDescent="0.2">
      <c r="D86" s="252" t="s">
        <v>439</v>
      </c>
      <c r="E86" s="16" t="s">
        <v>439</v>
      </c>
      <c r="F86" s="279" t="s">
        <v>439</v>
      </c>
      <c r="G86" s="279" t="s">
        <v>439</v>
      </c>
      <c r="H86" s="17" t="s">
        <v>439</v>
      </c>
      <c r="I86" s="10" t="s">
        <v>439</v>
      </c>
      <c r="J86" s="4" t="str">
        <f t="shared" si="3"/>
        <v/>
      </c>
    </row>
    <row r="87" spans="4:10" x14ac:dyDescent="0.2">
      <c r="D87" s="252" t="s">
        <v>439</v>
      </c>
      <c r="E87" s="16" t="s">
        <v>439</v>
      </c>
      <c r="F87" s="279" t="s">
        <v>439</v>
      </c>
      <c r="G87" s="279" t="s">
        <v>439</v>
      </c>
      <c r="H87" s="17" t="s">
        <v>439</v>
      </c>
      <c r="I87" s="10" t="s">
        <v>439</v>
      </c>
      <c r="J87" s="4" t="str">
        <f t="shared" si="3"/>
        <v/>
      </c>
    </row>
    <row r="88" spans="4:10" x14ac:dyDescent="0.2">
      <c r="D88" s="252" t="s">
        <v>439</v>
      </c>
      <c r="E88" s="16" t="s">
        <v>439</v>
      </c>
      <c r="F88" s="279" t="s">
        <v>439</v>
      </c>
      <c r="G88" s="279" t="s">
        <v>439</v>
      </c>
      <c r="H88" s="17" t="s">
        <v>439</v>
      </c>
      <c r="I88" s="10" t="s">
        <v>439</v>
      </c>
      <c r="J88" s="4" t="str">
        <f t="shared" si="3"/>
        <v/>
      </c>
    </row>
    <row r="89" spans="4:10" x14ac:dyDescent="0.2">
      <c r="D89" s="252" t="s">
        <v>439</v>
      </c>
      <c r="E89" s="16" t="s">
        <v>439</v>
      </c>
      <c r="F89" s="279" t="s">
        <v>439</v>
      </c>
      <c r="G89" s="279" t="s">
        <v>439</v>
      </c>
      <c r="H89" s="17" t="s">
        <v>439</v>
      </c>
      <c r="I89" s="10" t="s">
        <v>439</v>
      </c>
      <c r="J89" s="4" t="str">
        <f t="shared" si="3"/>
        <v/>
      </c>
    </row>
    <row r="90" spans="4:10" x14ac:dyDescent="0.2">
      <c r="D90" s="252" t="s">
        <v>439</v>
      </c>
      <c r="E90" s="16" t="s">
        <v>439</v>
      </c>
      <c r="F90" s="279" t="s">
        <v>439</v>
      </c>
      <c r="G90" s="279" t="s">
        <v>439</v>
      </c>
      <c r="H90" s="17" t="s">
        <v>439</v>
      </c>
      <c r="I90" s="10" t="s">
        <v>439</v>
      </c>
      <c r="J90" s="4" t="str">
        <f t="shared" si="3"/>
        <v/>
      </c>
    </row>
    <row r="91" spans="4:10" x14ac:dyDescent="0.2">
      <c r="D91" s="252" t="s">
        <v>439</v>
      </c>
      <c r="E91" s="16" t="s">
        <v>439</v>
      </c>
      <c r="F91" s="279" t="s">
        <v>439</v>
      </c>
      <c r="G91" s="279" t="s">
        <v>439</v>
      </c>
      <c r="H91" s="17" t="s">
        <v>439</v>
      </c>
      <c r="I91" s="10" t="s">
        <v>439</v>
      </c>
      <c r="J91" s="4" t="str">
        <f t="shared" si="3"/>
        <v/>
      </c>
    </row>
    <row r="92" spans="4:10" x14ac:dyDescent="0.2">
      <c r="D92" s="252" t="s">
        <v>439</v>
      </c>
      <c r="E92" s="16" t="s">
        <v>439</v>
      </c>
      <c r="F92" s="279" t="s">
        <v>439</v>
      </c>
      <c r="G92" s="279" t="s">
        <v>439</v>
      </c>
      <c r="H92" s="17" t="s">
        <v>439</v>
      </c>
      <c r="I92" s="10" t="s">
        <v>439</v>
      </c>
      <c r="J92" s="4" t="str">
        <f t="shared" si="3"/>
        <v/>
      </c>
    </row>
    <row r="93" spans="4:10" x14ac:dyDescent="0.2">
      <c r="D93" s="252" t="s">
        <v>439</v>
      </c>
      <c r="E93" s="16" t="s">
        <v>439</v>
      </c>
      <c r="F93" s="279" t="s">
        <v>439</v>
      </c>
      <c r="G93" s="279" t="s">
        <v>439</v>
      </c>
      <c r="H93" s="17" t="s">
        <v>439</v>
      </c>
      <c r="I93" s="10" t="s">
        <v>439</v>
      </c>
      <c r="J93" s="4" t="str">
        <f t="shared" si="3"/>
        <v/>
      </c>
    </row>
    <row r="94" spans="4:10" x14ac:dyDescent="0.2">
      <c r="D94" s="252" t="s">
        <v>439</v>
      </c>
      <c r="E94" s="16" t="s">
        <v>439</v>
      </c>
      <c r="F94" s="279" t="s">
        <v>439</v>
      </c>
      <c r="G94" s="279" t="s">
        <v>439</v>
      </c>
      <c r="H94" s="17" t="s">
        <v>439</v>
      </c>
      <c r="I94" s="10" t="s">
        <v>439</v>
      </c>
      <c r="J94" s="4" t="str">
        <f t="shared" si="3"/>
        <v/>
      </c>
    </row>
    <row r="95" spans="4:10" x14ac:dyDescent="0.2">
      <c r="D95" s="252" t="s">
        <v>439</v>
      </c>
      <c r="E95" s="16" t="s">
        <v>439</v>
      </c>
      <c r="F95" s="279" t="s">
        <v>439</v>
      </c>
      <c r="G95" s="279" t="s">
        <v>439</v>
      </c>
      <c r="H95" s="17" t="s">
        <v>439</v>
      </c>
      <c r="I95" s="10" t="s">
        <v>439</v>
      </c>
      <c r="J95" s="4" t="str">
        <f t="shared" si="3"/>
        <v/>
      </c>
    </row>
    <row r="96" spans="4:10" x14ac:dyDescent="0.2">
      <c r="D96" s="252" t="s">
        <v>439</v>
      </c>
      <c r="E96" s="16" t="s">
        <v>439</v>
      </c>
      <c r="F96" s="279" t="s">
        <v>439</v>
      </c>
      <c r="G96" s="279" t="s">
        <v>439</v>
      </c>
      <c r="H96" s="17" t="s">
        <v>439</v>
      </c>
      <c r="I96" s="10" t="s">
        <v>439</v>
      </c>
      <c r="J96" s="4" t="str">
        <f t="shared" si="3"/>
        <v/>
      </c>
    </row>
    <row r="97" spans="4:10" x14ac:dyDescent="0.2">
      <c r="D97" s="252" t="s">
        <v>439</v>
      </c>
      <c r="E97" s="16" t="s">
        <v>439</v>
      </c>
      <c r="F97" s="279" t="s">
        <v>439</v>
      </c>
      <c r="G97" s="279" t="s">
        <v>439</v>
      </c>
      <c r="H97" s="17" t="s">
        <v>439</v>
      </c>
      <c r="I97" s="10" t="s">
        <v>439</v>
      </c>
      <c r="J97" s="4" t="str">
        <f t="shared" si="3"/>
        <v/>
      </c>
    </row>
    <row r="98" spans="4:10" x14ac:dyDescent="0.2">
      <c r="D98" s="252" t="s">
        <v>439</v>
      </c>
      <c r="E98" s="16" t="s">
        <v>439</v>
      </c>
      <c r="F98" s="279" t="s">
        <v>439</v>
      </c>
      <c r="G98" s="279" t="s">
        <v>439</v>
      </c>
      <c r="H98" s="17" t="s">
        <v>439</v>
      </c>
      <c r="I98" s="10" t="s">
        <v>439</v>
      </c>
      <c r="J98" s="4" t="str">
        <f t="shared" si="3"/>
        <v/>
      </c>
    </row>
    <row r="99" spans="4:10" x14ac:dyDescent="0.2">
      <c r="D99" s="252" t="s">
        <v>439</v>
      </c>
      <c r="E99" s="16" t="s">
        <v>439</v>
      </c>
      <c r="F99" s="279" t="s">
        <v>439</v>
      </c>
      <c r="G99" s="279" t="s">
        <v>439</v>
      </c>
      <c r="H99" s="17" t="s">
        <v>439</v>
      </c>
      <c r="I99" s="10" t="s">
        <v>439</v>
      </c>
      <c r="J99" s="4" t="str">
        <f t="shared" si="3"/>
        <v/>
      </c>
    </row>
    <row r="100" spans="4:10" x14ac:dyDescent="0.2">
      <c r="D100" s="252" t="s">
        <v>439</v>
      </c>
      <c r="E100" s="16" t="s">
        <v>439</v>
      </c>
      <c r="F100" s="279" t="s">
        <v>439</v>
      </c>
      <c r="G100" s="279" t="s">
        <v>439</v>
      </c>
      <c r="H100" s="17" t="s">
        <v>439</v>
      </c>
      <c r="I100" s="10" t="s">
        <v>439</v>
      </c>
      <c r="J100" s="4" t="str">
        <f t="shared" si="3"/>
        <v/>
      </c>
    </row>
    <row r="101" spans="4:10" x14ac:dyDescent="0.2">
      <c r="J101" s="4" t="str">
        <f t="shared" si="3"/>
        <v/>
      </c>
    </row>
    <row r="102" spans="4:10" x14ac:dyDescent="0.2">
      <c r="J102" s="4" t="str">
        <f t="shared" si="3"/>
        <v/>
      </c>
    </row>
    <row r="103" spans="4:10" x14ac:dyDescent="0.2">
      <c r="J103" s="4" t="str">
        <f t="shared" si="3"/>
        <v/>
      </c>
    </row>
    <row r="104" spans="4:10" x14ac:dyDescent="0.2">
      <c r="J104" s="4" t="str">
        <f t="shared" si="3"/>
        <v/>
      </c>
    </row>
    <row r="105" spans="4:10" x14ac:dyDescent="0.2">
      <c r="J105" s="4" t="str">
        <f t="shared" si="3"/>
        <v/>
      </c>
    </row>
    <row r="106" spans="4:10" x14ac:dyDescent="0.2">
      <c r="J106" s="4" t="str">
        <f t="shared" si="3"/>
        <v/>
      </c>
    </row>
    <row r="107" spans="4:10" x14ac:dyDescent="0.2">
      <c r="J107" s="4" t="str">
        <f t="shared" si="3"/>
        <v/>
      </c>
    </row>
    <row r="108" spans="4:10" x14ac:dyDescent="0.2">
      <c r="J108" s="4" t="str">
        <f t="shared" si="3"/>
        <v/>
      </c>
    </row>
    <row r="109" spans="4:10" x14ac:dyDescent="0.2">
      <c r="J109" s="4" t="str">
        <f t="shared" si="3"/>
        <v/>
      </c>
    </row>
    <row r="110" spans="4:10" x14ac:dyDescent="0.2">
      <c r="J110" s="4" t="str">
        <f t="shared" si="3"/>
        <v/>
      </c>
    </row>
    <row r="111" spans="4:10" x14ac:dyDescent="0.2">
      <c r="J111" s="4" t="str">
        <f t="shared" si="3"/>
        <v/>
      </c>
    </row>
    <row r="112" spans="4:10" x14ac:dyDescent="0.2">
      <c r="J112" s="4" t="str">
        <f t="shared" ref="J112:J125" si="4">IF(F112="","",COUNTIF($F$16:$F$125,F112))</f>
        <v/>
      </c>
    </row>
    <row r="113" spans="10:10" x14ac:dyDescent="0.2">
      <c r="J113" s="4" t="str">
        <f t="shared" si="4"/>
        <v/>
      </c>
    </row>
    <row r="114" spans="10:10" x14ac:dyDescent="0.2">
      <c r="J114" s="4" t="str">
        <f t="shared" si="4"/>
        <v/>
      </c>
    </row>
    <row r="115" spans="10:10" x14ac:dyDescent="0.2">
      <c r="J115" s="4" t="str">
        <f t="shared" si="4"/>
        <v/>
      </c>
    </row>
    <row r="116" spans="10:10" x14ac:dyDescent="0.2">
      <c r="J116" s="4" t="str">
        <f t="shared" si="4"/>
        <v/>
      </c>
    </row>
    <row r="117" spans="10:10" x14ac:dyDescent="0.2">
      <c r="J117" s="4" t="str">
        <f t="shared" si="4"/>
        <v/>
      </c>
    </row>
    <row r="118" spans="10:10" x14ac:dyDescent="0.2">
      <c r="J118" s="4" t="str">
        <f t="shared" si="4"/>
        <v/>
      </c>
    </row>
    <row r="119" spans="10:10" x14ac:dyDescent="0.2">
      <c r="J119" s="4" t="str">
        <f t="shared" si="4"/>
        <v/>
      </c>
    </row>
    <row r="120" spans="10:10" x14ac:dyDescent="0.2">
      <c r="J120" s="4" t="str">
        <f t="shared" si="4"/>
        <v/>
      </c>
    </row>
    <row r="121" spans="10:10" x14ac:dyDescent="0.2">
      <c r="J121" s="4" t="str">
        <f t="shared" si="4"/>
        <v/>
      </c>
    </row>
    <row r="122" spans="10:10" x14ac:dyDescent="0.2">
      <c r="J122" s="4" t="str">
        <f t="shared" si="4"/>
        <v/>
      </c>
    </row>
    <row r="123" spans="10:10" x14ac:dyDescent="0.2">
      <c r="J123" s="4" t="str">
        <f t="shared" si="4"/>
        <v/>
      </c>
    </row>
    <row r="124" spans="10:10" x14ac:dyDescent="0.2">
      <c r="J124" s="4" t="str">
        <f t="shared" si="4"/>
        <v/>
      </c>
    </row>
    <row r="125" spans="10:10" x14ac:dyDescent="0.2">
      <c r="J125" s="4" t="str">
        <f t="shared" si="4"/>
        <v/>
      </c>
    </row>
  </sheetData>
  <mergeCells count="2">
    <mergeCell ref="N10:U10"/>
    <mergeCell ref="N11:N12"/>
  </mergeCells>
  <conditionalFormatting sqref="D116:K195 D12:H15 D16:I115">
    <cfRule type="expression" dxfId="90" priority="3">
      <formula>$D12&lt;&gt;""</formula>
    </cfRule>
  </conditionalFormatting>
  <conditionalFormatting sqref="I12:I15">
    <cfRule type="expression" dxfId="89" priority="1">
      <formula>$D12&lt;&gt;""</formula>
    </cfRule>
  </conditionalFormatting>
  <hyperlinks>
    <hyperlink ref="B2" location="Dashboard!A1" display="Dashboard"/>
    <hyperlink ref="B4" location="'Performance Stats'!A1" display="Performance Analysis"/>
    <hyperlink ref="B6" location="'TD Planner'!A1" display="TD Planner"/>
    <hyperlink ref="B10" location="'Urgent Escalation'!A1" display="Urgent Escalation"/>
    <hyperlink ref="B14" location="'Existing Bonus File'!A1" display="Contact Review File"/>
    <hyperlink ref="B8" location="'Employee Management'!A1" display="Staff Record"/>
    <hyperlink ref="B12" location="PDP!A1" display="PDP"/>
    <hyperlink ref="B16" location="'Meeting Log'!A1" display="Meeting Log"/>
  </hyperlink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x14:formula1>
            <xm:f>Configuration!$S$1:$S$22</xm:f>
          </x14:formula1>
          <xm:sqref>I12:I60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D1:O15"/>
  <sheetViews>
    <sheetView showGridLines="0" workbookViewId="0">
      <selection activeCell="E5" sqref="E5"/>
    </sheetView>
  </sheetViews>
  <sheetFormatPr defaultRowHeight="12.75" x14ac:dyDescent="0.2"/>
  <cols>
    <col min="1" max="1" width="2.140625" style="1" customWidth="1"/>
    <col min="2" max="2" width="2.28515625" style="1" customWidth="1"/>
    <col min="3" max="3" width="3.7109375" style="1" customWidth="1"/>
    <col min="4" max="4" width="15.5703125" style="1" customWidth="1"/>
    <col min="5" max="5" width="23.5703125" style="1" customWidth="1"/>
    <col min="6" max="6" width="13.5703125" style="1" customWidth="1"/>
    <col min="7" max="7" width="12" style="1" bestFit="1" customWidth="1"/>
    <col min="8" max="8" width="14.28515625" style="1" bestFit="1" customWidth="1"/>
    <col min="9" max="9" width="24.42578125" style="1" bestFit="1" customWidth="1"/>
    <col min="10" max="10" width="13.5703125" style="1" bestFit="1" customWidth="1"/>
    <col min="11" max="11" width="11" style="1" bestFit="1" customWidth="1"/>
    <col min="12" max="12" width="16.42578125" style="1" bestFit="1" customWidth="1"/>
    <col min="13" max="13" width="22.85546875" style="1" bestFit="1" customWidth="1"/>
    <col min="14" max="18" width="22.42578125" style="1" customWidth="1"/>
    <col min="19" max="19" width="3.28515625" style="1" bestFit="1" customWidth="1"/>
    <col min="20" max="20" width="4.85546875" style="1" bestFit="1" customWidth="1"/>
    <col min="21" max="21" width="16.42578125" style="1" bestFit="1" customWidth="1"/>
    <col min="22" max="16384" width="9.140625" style="1"/>
  </cols>
  <sheetData>
    <row r="1" spans="4:15" s="127" customFormat="1" ht="36.75" customHeight="1" x14ac:dyDescent="0.2"/>
    <row r="5" spans="4:15" x14ac:dyDescent="0.2">
      <c r="D5" s="2" t="s">
        <v>134</v>
      </c>
      <c r="E5" s="82" t="s">
        <v>208</v>
      </c>
      <c r="F5" s="4"/>
      <c r="G5" s="4"/>
      <c r="H5" s="2" t="s">
        <v>135</v>
      </c>
      <c r="I5" s="3" t="s">
        <v>51</v>
      </c>
      <c r="J5" s="4"/>
      <c r="K5" s="4"/>
      <c r="L5" s="2" t="s">
        <v>136</v>
      </c>
      <c r="M5" s="3" t="s">
        <v>83</v>
      </c>
    </row>
    <row r="6" spans="4:15" x14ac:dyDescent="0.2">
      <c r="D6" s="2" t="s">
        <v>120</v>
      </c>
      <c r="E6" s="57">
        <v>2024</v>
      </c>
      <c r="F6" s="4"/>
      <c r="G6" s="4"/>
      <c r="H6" s="2" t="s">
        <v>121</v>
      </c>
      <c r="I6" s="57" t="s">
        <v>132</v>
      </c>
      <c r="J6" s="4"/>
      <c r="K6" s="4"/>
      <c r="L6" s="2" t="s">
        <v>137</v>
      </c>
      <c r="M6" s="57" t="s">
        <v>130</v>
      </c>
    </row>
    <row r="7" spans="4:15" x14ac:dyDescent="0.2">
      <c r="D7" s="4"/>
      <c r="E7" s="4"/>
      <c r="F7" s="4"/>
      <c r="G7" s="4"/>
      <c r="H7" s="4"/>
      <c r="I7" s="4"/>
      <c r="J7" s="4"/>
      <c r="K7" s="4"/>
      <c r="L7" s="4"/>
      <c r="M7" s="4"/>
    </row>
    <row r="8" spans="4:15" x14ac:dyDescent="0.2">
      <c r="D8" s="2" t="s">
        <v>138</v>
      </c>
      <c r="E8" s="360"/>
      <c r="F8" s="361"/>
      <c r="G8" s="361"/>
      <c r="H8" s="361"/>
      <c r="I8" s="361"/>
      <c r="J8" s="361"/>
      <c r="K8" s="361"/>
      <c r="L8" s="361"/>
      <c r="M8" s="361"/>
      <c r="N8" s="2"/>
      <c r="O8" s="2"/>
    </row>
    <row r="9" spans="4:15" x14ac:dyDescent="0.2">
      <c r="D9" s="2"/>
      <c r="E9" s="2"/>
      <c r="F9" s="4"/>
      <c r="G9" s="4"/>
      <c r="H9" s="4"/>
      <c r="I9" s="4"/>
      <c r="J9" s="4"/>
      <c r="K9" s="4"/>
      <c r="L9" s="4"/>
      <c r="M9" s="4"/>
    </row>
    <row r="10" spans="4:15" x14ac:dyDescent="0.2">
      <c r="D10" s="2" t="s">
        <v>139</v>
      </c>
      <c r="E10" s="12" t="s">
        <v>263</v>
      </c>
      <c r="F10" s="2"/>
      <c r="G10" s="2"/>
      <c r="H10" s="2" t="s">
        <v>140</v>
      </c>
      <c r="I10" s="103" t="s">
        <v>128</v>
      </c>
      <c r="J10" s="2"/>
      <c r="K10" s="2"/>
      <c r="L10" s="2"/>
      <c r="M10" s="2"/>
    </row>
    <row r="11" spans="4:15" x14ac:dyDescent="0.2">
      <c r="D11" s="2"/>
      <c r="E11" s="2"/>
      <c r="F11" s="2"/>
      <c r="G11" s="2"/>
      <c r="H11" s="2"/>
      <c r="I11" s="2"/>
      <c r="J11" s="2"/>
      <c r="K11" s="2"/>
      <c r="L11" s="2"/>
      <c r="M11" s="2"/>
    </row>
    <row r="12" spans="4:15" x14ac:dyDescent="0.2">
      <c r="D12" s="2"/>
      <c r="E12" s="2"/>
      <c r="F12" s="2"/>
      <c r="G12" s="2"/>
      <c r="H12" s="2"/>
      <c r="I12" s="2"/>
      <c r="J12" s="2"/>
      <c r="K12" s="2"/>
      <c r="L12" s="2"/>
      <c r="M12" s="2"/>
    </row>
    <row r="13" spans="4:15" x14ac:dyDescent="0.2">
      <c r="D13" s="2"/>
      <c r="E13" s="2"/>
      <c r="F13" s="2"/>
      <c r="G13" s="2"/>
      <c r="H13" s="2"/>
      <c r="I13" s="2"/>
      <c r="J13" s="2"/>
      <c r="K13" s="2"/>
      <c r="L13" s="2"/>
      <c r="M13" s="2"/>
    </row>
    <row r="14" spans="4:15" x14ac:dyDescent="0.2">
      <c r="D14" s="2"/>
      <c r="E14" s="2"/>
      <c r="F14" s="2"/>
      <c r="G14" s="2"/>
      <c r="H14" s="2"/>
      <c r="I14" s="2"/>
      <c r="J14" s="2"/>
      <c r="K14" s="2"/>
      <c r="L14" s="2"/>
      <c r="M14" s="2"/>
    </row>
    <row r="15" spans="4:15" x14ac:dyDescent="0.2">
      <c r="D15" s="2"/>
      <c r="E15" s="2"/>
      <c r="F15" s="2"/>
      <c r="G15" s="2"/>
      <c r="H15" s="2"/>
      <c r="I15" s="2"/>
      <c r="J15" s="2"/>
      <c r="K15" s="2"/>
      <c r="L15" s="2"/>
      <c r="M15" s="2"/>
    </row>
  </sheetData>
  <mergeCells count="1">
    <mergeCell ref="E8:M8"/>
  </mergeCells>
  <dataValidations count="2">
    <dataValidation type="list" allowBlank="1" showInputMessage="1" showErrorMessage="1" sqref="M6">
      <formula1>Band</formula1>
    </dataValidation>
    <dataValidation type="list" allowBlank="1" showInputMessage="1" showErrorMessage="1" sqref="I6">
      <formula1>Periods</formula1>
    </dataValidation>
  </dataValidations>
  <hyperlinks>
    <hyperlink ref="I10" r:id="rId1"/>
  </hyperlinks>
  <pageMargins left="0.7" right="0.7" top="0.75" bottom="0.75" header="0.3" footer="0.3"/>
  <pageSetup paperSize="9" orientation="portrait" r:id="rId2"/>
  <drawing r:id="rId3"/>
  <extLst>
    <ext xmlns:x14="http://schemas.microsoft.com/office/spreadsheetml/2009/9/main" uri="{CCE6A557-97BC-4b89-ADB6-D9C93CAAB3DF}">
      <x14:dataValidations xmlns:xm="http://schemas.microsoft.com/office/excel/2006/main" count="3">
        <x14:dataValidation type="list" allowBlank="1" showInputMessage="1">
          <x14:formula1>
            <xm:f>Staffs!$A:$A</xm:f>
          </x14:formula1>
          <xm:sqref>E5</xm:sqref>
        </x14:dataValidation>
        <x14:dataValidation type="list" allowBlank="1" showInputMessage="1">
          <x14:formula1>
            <xm:f>TeamLeader!$A:$A</xm:f>
          </x14:formula1>
          <xm:sqref>M5</xm:sqref>
        </x14:dataValidation>
        <x14:dataValidation type="list" allowBlank="1" showInputMessage="1">
          <x14:formula1>
            <xm:f>Supervisor!$A:$A</xm:f>
          </x14:formula1>
          <xm:sqref>I5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84"/>
  <sheetViews>
    <sheetView workbookViewId="0">
      <selection activeCell="G34" sqref="G34"/>
    </sheetView>
  </sheetViews>
  <sheetFormatPr defaultRowHeight="12.75" x14ac:dyDescent="0.2"/>
  <cols>
    <col min="1" max="1" width="15" bestFit="1" customWidth="1"/>
    <col min="2" max="2" width="14.42578125" bestFit="1" customWidth="1"/>
    <col min="3" max="3" width="11.7109375" bestFit="1" customWidth="1"/>
    <col min="4" max="4" width="13.7109375" bestFit="1" customWidth="1"/>
    <col min="5" max="5" width="13.5703125" bestFit="1" customWidth="1"/>
    <col min="6" max="6" width="6" bestFit="1" customWidth="1"/>
    <col min="7" max="7" width="20.7109375" bestFit="1" customWidth="1"/>
  </cols>
  <sheetData>
    <row r="1" spans="1:7" x14ac:dyDescent="0.2">
      <c r="A1" s="11" t="s">
        <v>454</v>
      </c>
      <c r="B1" s="11" t="s">
        <v>455</v>
      </c>
      <c r="C1" s="11" t="s">
        <v>76</v>
      </c>
      <c r="D1" s="11" t="s">
        <v>33</v>
      </c>
      <c r="E1" s="11" t="s">
        <v>23</v>
      </c>
      <c r="F1" s="11" t="s">
        <v>79</v>
      </c>
      <c r="G1" s="11" t="s">
        <v>23</v>
      </c>
    </row>
    <row r="2" spans="1:7" x14ac:dyDescent="0.2">
      <c r="A2" t="s">
        <v>456</v>
      </c>
      <c r="B2" t="s">
        <v>457</v>
      </c>
      <c r="C2" t="s">
        <v>76</v>
      </c>
      <c r="D2" t="s">
        <v>30</v>
      </c>
      <c r="E2" t="s">
        <v>32</v>
      </c>
      <c r="F2" t="s">
        <v>79</v>
      </c>
      <c r="G2" t="s">
        <v>32</v>
      </c>
    </row>
    <row r="3" spans="1:7" x14ac:dyDescent="0.2">
      <c r="A3" t="s">
        <v>458</v>
      </c>
      <c r="B3" t="s">
        <v>459</v>
      </c>
      <c r="C3" t="s">
        <v>76</v>
      </c>
      <c r="D3" t="s">
        <v>37</v>
      </c>
      <c r="E3" t="s">
        <v>39</v>
      </c>
      <c r="F3" t="s">
        <v>79</v>
      </c>
      <c r="G3" t="s">
        <v>39</v>
      </c>
    </row>
    <row r="4" spans="1:7" x14ac:dyDescent="0.2">
      <c r="A4" t="s">
        <v>460</v>
      </c>
      <c r="B4" t="s">
        <v>461</v>
      </c>
      <c r="C4" t="s">
        <v>76</v>
      </c>
      <c r="D4" t="s">
        <v>52</v>
      </c>
      <c r="E4" t="s">
        <v>54</v>
      </c>
      <c r="F4" t="s">
        <v>79</v>
      </c>
      <c r="G4" t="s">
        <v>54</v>
      </c>
    </row>
    <row r="5" spans="1:7" x14ac:dyDescent="0.2">
      <c r="A5" t="s">
        <v>462</v>
      </c>
      <c r="B5" t="s">
        <v>463</v>
      </c>
      <c r="C5" t="s">
        <v>76</v>
      </c>
      <c r="D5" t="s">
        <v>24</v>
      </c>
      <c r="E5" t="s">
        <v>26</v>
      </c>
      <c r="F5" t="s">
        <v>79</v>
      </c>
      <c r="G5" t="s">
        <v>26</v>
      </c>
    </row>
    <row r="6" spans="1:7" x14ac:dyDescent="0.2">
      <c r="A6" t="s">
        <v>464</v>
      </c>
      <c r="B6" t="s">
        <v>465</v>
      </c>
      <c r="C6" t="s">
        <v>76</v>
      </c>
      <c r="D6" t="s">
        <v>181</v>
      </c>
      <c r="E6" t="s">
        <v>176</v>
      </c>
      <c r="F6" t="s">
        <v>80</v>
      </c>
      <c r="G6" t="s">
        <v>176</v>
      </c>
    </row>
    <row r="7" spans="1:7" x14ac:dyDescent="0.2">
      <c r="A7" t="s">
        <v>466</v>
      </c>
      <c r="B7" t="s">
        <v>467</v>
      </c>
      <c r="C7" t="s">
        <v>76</v>
      </c>
      <c r="E7" t="s">
        <v>185</v>
      </c>
      <c r="F7" t="s">
        <v>80</v>
      </c>
      <c r="G7" t="s">
        <v>185</v>
      </c>
    </row>
    <row r="8" spans="1:7" x14ac:dyDescent="0.2">
      <c r="A8" t="s">
        <v>468</v>
      </c>
      <c r="B8" t="s">
        <v>469</v>
      </c>
      <c r="C8" t="s">
        <v>76</v>
      </c>
      <c r="D8" t="s">
        <v>177</v>
      </c>
      <c r="E8" t="s">
        <v>27</v>
      </c>
      <c r="F8" t="s">
        <v>80</v>
      </c>
      <c r="G8" t="s">
        <v>27</v>
      </c>
    </row>
    <row r="9" spans="1:7" x14ac:dyDescent="0.2">
      <c r="A9" t="s">
        <v>470</v>
      </c>
      <c r="B9" t="s">
        <v>471</v>
      </c>
      <c r="C9" t="s">
        <v>76</v>
      </c>
      <c r="D9" t="s">
        <v>179</v>
      </c>
      <c r="E9" t="s">
        <v>171</v>
      </c>
      <c r="F9" t="s">
        <v>80</v>
      </c>
      <c r="G9" t="s">
        <v>168</v>
      </c>
    </row>
    <row r="10" spans="1:7" x14ac:dyDescent="0.2">
      <c r="A10" t="s">
        <v>472</v>
      </c>
      <c r="B10" t="s">
        <v>473</v>
      </c>
      <c r="C10" t="s">
        <v>76</v>
      </c>
      <c r="D10" t="s">
        <v>40</v>
      </c>
      <c r="E10" t="s">
        <v>43</v>
      </c>
      <c r="F10" t="s">
        <v>79</v>
      </c>
      <c r="G10" t="s">
        <v>43</v>
      </c>
    </row>
    <row r="11" spans="1:7" x14ac:dyDescent="0.2">
      <c r="A11" t="s">
        <v>474</v>
      </c>
      <c r="B11" t="s">
        <v>475</v>
      </c>
      <c r="C11" t="s">
        <v>76</v>
      </c>
      <c r="D11" t="s">
        <v>55</v>
      </c>
      <c r="E11" t="s">
        <v>57</v>
      </c>
      <c r="F11" t="s">
        <v>79</v>
      </c>
      <c r="G11" t="s">
        <v>57</v>
      </c>
    </row>
    <row r="12" spans="1:7" x14ac:dyDescent="0.2">
      <c r="A12" t="s">
        <v>476</v>
      </c>
      <c r="B12" t="s">
        <v>477</v>
      </c>
      <c r="C12" t="s">
        <v>76</v>
      </c>
      <c r="D12" t="s">
        <v>169</v>
      </c>
      <c r="E12" t="s">
        <v>171</v>
      </c>
      <c r="F12" t="s">
        <v>80</v>
      </c>
      <c r="G12" t="s">
        <v>168</v>
      </c>
    </row>
    <row r="13" spans="1:7" x14ac:dyDescent="0.2">
      <c r="A13" t="s">
        <v>479</v>
      </c>
      <c r="B13" t="s">
        <v>480</v>
      </c>
      <c r="C13" t="s">
        <v>76</v>
      </c>
      <c r="D13" t="s">
        <v>177</v>
      </c>
      <c r="E13" t="s">
        <v>27</v>
      </c>
      <c r="F13" t="s">
        <v>80</v>
      </c>
      <c r="G13" t="s">
        <v>27</v>
      </c>
    </row>
    <row r="14" spans="1:7" x14ac:dyDescent="0.2">
      <c r="A14" t="s">
        <v>481</v>
      </c>
      <c r="B14" t="s">
        <v>482</v>
      </c>
      <c r="C14" t="s">
        <v>76</v>
      </c>
      <c r="D14" t="s">
        <v>24</v>
      </c>
      <c r="E14" t="s">
        <v>26</v>
      </c>
      <c r="F14" t="s">
        <v>79</v>
      </c>
      <c r="G14" t="s">
        <v>26</v>
      </c>
    </row>
    <row r="15" spans="1:7" x14ac:dyDescent="0.2">
      <c r="A15" t="s">
        <v>483</v>
      </c>
      <c r="B15" t="s">
        <v>484</v>
      </c>
      <c r="C15" t="s">
        <v>76</v>
      </c>
      <c r="D15" t="s">
        <v>37</v>
      </c>
      <c r="E15" t="s">
        <v>39</v>
      </c>
      <c r="F15" t="s">
        <v>79</v>
      </c>
      <c r="G15" t="s">
        <v>39</v>
      </c>
    </row>
    <row r="16" spans="1:7" x14ac:dyDescent="0.2">
      <c r="A16" t="s">
        <v>485</v>
      </c>
      <c r="B16" t="s">
        <v>486</v>
      </c>
      <c r="C16" t="s">
        <v>76</v>
      </c>
      <c r="D16" t="s">
        <v>165</v>
      </c>
      <c r="E16" t="s">
        <v>167</v>
      </c>
      <c r="F16" t="s">
        <v>80</v>
      </c>
      <c r="G16" t="s">
        <v>168</v>
      </c>
    </row>
    <row r="17" spans="1:7" x14ac:dyDescent="0.2">
      <c r="A17" t="s">
        <v>487</v>
      </c>
      <c r="B17" t="s">
        <v>488</v>
      </c>
      <c r="C17" t="s">
        <v>76</v>
      </c>
      <c r="D17" t="s">
        <v>165</v>
      </c>
      <c r="E17" t="s">
        <v>167</v>
      </c>
      <c r="F17" t="s">
        <v>80</v>
      </c>
      <c r="G17" t="s">
        <v>168</v>
      </c>
    </row>
    <row r="18" spans="1:7" x14ac:dyDescent="0.2">
      <c r="A18" t="s">
        <v>489</v>
      </c>
      <c r="B18" t="s">
        <v>490</v>
      </c>
      <c r="C18" t="s">
        <v>76</v>
      </c>
      <c r="D18" t="s">
        <v>24</v>
      </c>
      <c r="E18" t="s">
        <v>26</v>
      </c>
      <c r="F18" t="s">
        <v>79</v>
      </c>
      <c r="G18" t="s">
        <v>26</v>
      </c>
    </row>
    <row r="19" spans="1:7" x14ac:dyDescent="0.2">
      <c r="A19" t="s">
        <v>491</v>
      </c>
      <c r="B19" t="s">
        <v>492</v>
      </c>
      <c r="C19" t="s">
        <v>76</v>
      </c>
      <c r="D19" t="s">
        <v>44</v>
      </c>
      <c r="E19" t="s">
        <v>46</v>
      </c>
      <c r="F19" t="s">
        <v>80</v>
      </c>
      <c r="G19" t="s">
        <v>46</v>
      </c>
    </row>
    <row r="20" spans="1:7" x14ac:dyDescent="0.2">
      <c r="A20" t="s">
        <v>493</v>
      </c>
      <c r="B20" t="s">
        <v>494</v>
      </c>
      <c r="C20" t="s">
        <v>76</v>
      </c>
      <c r="D20" t="s">
        <v>40</v>
      </c>
      <c r="E20" t="s">
        <v>43</v>
      </c>
      <c r="F20" t="s">
        <v>79</v>
      </c>
      <c r="G20" t="s">
        <v>43</v>
      </c>
    </row>
    <row r="21" spans="1:7" x14ac:dyDescent="0.2">
      <c r="A21" t="s">
        <v>495</v>
      </c>
      <c r="B21" t="s">
        <v>496</v>
      </c>
      <c r="C21" t="s">
        <v>76</v>
      </c>
      <c r="D21" t="s">
        <v>28</v>
      </c>
      <c r="E21" t="s">
        <v>27</v>
      </c>
      <c r="F21" t="s">
        <v>80</v>
      </c>
      <c r="G21" t="s">
        <v>27</v>
      </c>
    </row>
    <row r="22" spans="1:7" x14ac:dyDescent="0.2">
      <c r="A22" t="s">
        <v>497</v>
      </c>
      <c r="B22" t="s">
        <v>498</v>
      </c>
      <c r="C22" t="s">
        <v>76</v>
      </c>
      <c r="D22" t="s">
        <v>55</v>
      </c>
      <c r="E22" t="s">
        <v>57</v>
      </c>
      <c r="F22" t="s">
        <v>79</v>
      </c>
      <c r="G22" t="s">
        <v>57</v>
      </c>
    </row>
    <row r="23" spans="1:7" x14ac:dyDescent="0.2">
      <c r="A23" t="s">
        <v>499</v>
      </c>
      <c r="B23" t="s">
        <v>500</v>
      </c>
      <c r="C23" t="s">
        <v>76</v>
      </c>
      <c r="D23" t="s">
        <v>174</v>
      </c>
      <c r="E23" t="s">
        <v>176</v>
      </c>
      <c r="F23" t="s">
        <v>80</v>
      </c>
      <c r="G23" t="s">
        <v>176</v>
      </c>
    </row>
    <row r="24" spans="1:7" x14ac:dyDescent="0.2">
      <c r="A24" t="s">
        <v>501</v>
      </c>
      <c r="B24" t="s">
        <v>502</v>
      </c>
      <c r="C24" t="s">
        <v>76</v>
      </c>
      <c r="D24" t="s">
        <v>0</v>
      </c>
      <c r="E24" t="s">
        <v>59</v>
      </c>
      <c r="F24" t="s">
        <v>79</v>
      </c>
      <c r="G24" t="s">
        <v>59</v>
      </c>
    </row>
    <row r="25" spans="1:7" x14ac:dyDescent="0.2">
      <c r="A25" t="s">
        <v>503</v>
      </c>
      <c r="B25" t="s">
        <v>504</v>
      </c>
      <c r="C25" t="s">
        <v>76</v>
      </c>
      <c r="D25" t="s">
        <v>177</v>
      </c>
      <c r="E25" t="s">
        <v>27</v>
      </c>
      <c r="F25" t="s">
        <v>80</v>
      </c>
      <c r="G25" t="s">
        <v>27</v>
      </c>
    </row>
    <row r="26" spans="1:7" x14ac:dyDescent="0.2">
      <c r="A26" t="s">
        <v>505</v>
      </c>
      <c r="B26" t="s">
        <v>506</v>
      </c>
      <c r="C26" t="s">
        <v>76</v>
      </c>
      <c r="D26" t="s">
        <v>40</v>
      </c>
      <c r="E26" t="s">
        <v>43</v>
      </c>
      <c r="F26" t="s">
        <v>79</v>
      </c>
      <c r="G26" t="s">
        <v>43</v>
      </c>
    </row>
    <row r="27" spans="1:7" x14ac:dyDescent="0.2">
      <c r="A27" t="s">
        <v>507</v>
      </c>
      <c r="B27" t="s">
        <v>508</v>
      </c>
      <c r="C27" t="s">
        <v>76</v>
      </c>
      <c r="D27" t="s">
        <v>478</v>
      </c>
      <c r="E27" t="s">
        <v>167</v>
      </c>
      <c r="F27" t="s">
        <v>80</v>
      </c>
      <c r="G27" t="s">
        <v>168</v>
      </c>
    </row>
    <row r="28" spans="1:7" x14ac:dyDescent="0.2">
      <c r="A28" t="s">
        <v>607</v>
      </c>
      <c r="B28" t="s">
        <v>509</v>
      </c>
      <c r="C28" t="s">
        <v>76</v>
      </c>
      <c r="D28" t="s">
        <v>21</v>
      </c>
      <c r="E28" t="s">
        <v>23</v>
      </c>
      <c r="F28" t="s">
        <v>79</v>
      </c>
      <c r="G28" t="s">
        <v>23</v>
      </c>
    </row>
    <row r="29" spans="1:7" x14ac:dyDescent="0.2">
      <c r="A29" t="s">
        <v>510</v>
      </c>
      <c r="B29" t="s">
        <v>511</v>
      </c>
      <c r="C29" t="s">
        <v>76</v>
      </c>
      <c r="D29" t="s">
        <v>37</v>
      </c>
      <c r="E29" t="s">
        <v>39</v>
      </c>
      <c r="F29" t="s">
        <v>79</v>
      </c>
      <c r="G29" t="s">
        <v>39</v>
      </c>
    </row>
    <row r="30" spans="1:7" x14ac:dyDescent="0.2">
      <c r="A30" t="s">
        <v>512</v>
      </c>
      <c r="B30" t="s">
        <v>513</v>
      </c>
      <c r="C30" t="s">
        <v>76</v>
      </c>
      <c r="D30" t="s">
        <v>52</v>
      </c>
      <c r="E30" t="s">
        <v>54</v>
      </c>
      <c r="F30" t="s">
        <v>79</v>
      </c>
      <c r="G30" t="s">
        <v>54</v>
      </c>
    </row>
    <row r="31" spans="1:7" x14ac:dyDescent="0.2">
      <c r="A31" t="s">
        <v>514</v>
      </c>
      <c r="B31" t="s">
        <v>515</v>
      </c>
      <c r="C31" t="s">
        <v>76</v>
      </c>
      <c r="D31" t="s">
        <v>52</v>
      </c>
      <c r="E31" t="s">
        <v>54</v>
      </c>
      <c r="F31" t="s">
        <v>79</v>
      </c>
      <c r="G31" t="s">
        <v>54</v>
      </c>
    </row>
    <row r="32" spans="1:7" x14ac:dyDescent="0.2">
      <c r="A32" t="s">
        <v>517</v>
      </c>
      <c r="B32" t="s">
        <v>518</v>
      </c>
      <c r="C32" t="s">
        <v>76</v>
      </c>
      <c r="D32" t="s">
        <v>169</v>
      </c>
      <c r="E32" t="s">
        <v>171</v>
      </c>
      <c r="F32" t="s">
        <v>80</v>
      </c>
      <c r="G32" t="s">
        <v>168</v>
      </c>
    </row>
    <row r="33" spans="1:7" x14ac:dyDescent="0.2">
      <c r="A33" t="s">
        <v>519</v>
      </c>
      <c r="B33" t="s">
        <v>520</v>
      </c>
      <c r="C33" t="s">
        <v>76</v>
      </c>
      <c r="D33" t="s">
        <v>55</v>
      </c>
      <c r="E33" t="s">
        <v>57</v>
      </c>
      <c r="F33" t="s">
        <v>79</v>
      </c>
      <c r="G33" t="s">
        <v>57</v>
      </c>
    </row>
    <row r="34" spans="1:7" x14ac:dyDescent="0.2">
      <c r="A34" t="s">
        <v>603</v>
      </c>
      <c r="B34" t="s">
        <v>521</v>
      </c>
      <c r="C34" t="s">
        <v>76</v>
      </c>
      <c r="D34" t="s">
        <v>33</v>
      </c>
      <c r="E34" t="s">
        <v>23</v>
      </c>
      <c r="F34" t="s">
        <v>79</v>
      </c>
      <c r="G34" t="s">
        <v>23</v>
      </c>
    </row>
    <row r="35" spans="1:7" x14ac:dyDescent="0.2">
      <c r="A35" t="s">
        <v>522</v>
      </c>
      <c r="B35" t="s">
        <v>523</v>
      </c>
      <c r="C35" t="s">
        <v>76</v>
      </c>
      <c r="D35" t="s">
        <v>30</v>
      </c>
      <c r="E35" t="s">
        <v>32</v>
      </c>
      <c r="F35" t="s">
        <v>79</v>
      </c>
      <c r="G35" t="s">
        <v>32</v>
      </c>
    </row>
    <row r="36" spans="1:7" x14ac:dyDescent="0.2">
      <c r="A36" t="s">
        <v>604</v>
      </c>
      <c r="B36" t="s">
        <v>524</v>
      </c>
      <c r="C36" t="s">
        <v>76</v>
      </c>
      <c r="D36" t="s">
        <v>33</v>
      </c>
      <c r="E36" t="s">
        <v>23</v>
      </c>
      <c r="F36" t="s">
        <v>79</v>
      </c>
      <c r="G36" t="s">
        <v>23</v>
      </c>
    </row>
    <row r="37" spans="1:7" x14ac:dyDescent="0.2">
      <c r="A37" t="s">
        <v>525</v>
      </c>
      <c r="B37" t="s">
        <v>526</v>
      </c>
      <c r="C37" t="s">
        <v>76</v>
      </c>
      <c r="D37" t="s">
        <v>28</v>
      </c>
      <c r="E37" t="s">
        <v>27</v>
      </c>
      <c r="F37" t="s">
        <v>80</v>
      </c>
      <c r="G37" t="s">
        <v>27</v>
      </c>
    </row>
    <row r="38" spans="1:7" x14ac:dyDescent="0.2">
      <c r="A38" t="s">
        <v>527</v>
      </c>
      <c r="B38" t="s">
        <v>528</v>
      </c>
      <c r="C38" t="s">
        <v>76</v>
      </c>
      <c r="D38" t="s">
        <v>201</v>
      </c>
      <c r="E38" t="s">
        <v>203</v>
      </c>
      <c r="F38" t="s">
        <v>80</v>
      </c>
      <c r="G38" t="s">
        <v>168</v>
      </c>
    </row>
    <row r="39" spans="1:7" x14ac:dyDescent="0.2">
      <c r="A39" t="s">
        <v>529</v>
      </c>
      <c r="B39" t="s">
        <v>530</v>
      </c>
      <c r="C39" t="s">
        <v>76</v>
      </c>
      <c r="E39" t="s">
        <v>185</v>
      </c>
      <c r="F39" t="s">
        <v>80</v>
      </c>
      <c r="G39" t="s">
        <v>185</v>
      </c>
    </row>
    <row r="40" spans="1:7" x14ac:dyDescent="0.2">
      <c r="A40" t="s">
        <v>531</v>
      </c>
      <c r="B40" t="s">
        <v>532</v>
      </c>
      <c r="C40" t="s">
        <v>76</v>
      </c>
      <c r="D40" t="s">
        <v>183</v>
      </c>
      <c r="E40" t="s">
        <v>185</v>
      </c>
      <c r="F40" t="s">
        <v>80</v>
      </c>
      <c r="G40" t="s">
        <v>185</v>
      </c>
    </row>
    <row r="41" spans="1:7" x14ac:dyDescent="0.2">
      <c r="A41" t="s">
        <v>533</v>
      </c>
      <c r="B41" t="s">
        <v>534</v>
      </c>
      <c r="C41" t="s">
        <v>76</v>
      </c>
      <c r="D41" t="s">
        <v>42</v>
      </c>
      <c r="E41" t="s">
        <v>185</v>
      </c>
      <c r="F41" t="s">
        <v>80</v>
      </c>
      <c r="G41" t="s">
        <v>185</v>
      </c>
    </row>
    <row r="42" spans="1:7" x14ac:dyDescent="0.2">
      <c r="A42" t="s">
        <v>535</v>
      </c>
      <c r="B42" t="s">
        <v>536</v>
      </c>
      <c r="C42" t="s">
        <v>76</v>
      </c>
      <c r="D42" t="s">
        <v>181</v>
      </c>
      <c r="E42" t="s">
        <v>176</v>
      </c>
      <c r="F42" t="s">
        <v>80</v>
      </c>
      <c r="G42" t="s">
        <v>176</v>
      </c>
    </row>
    <row r="43" spans="1:7" x14ac:dyDescent="0.2">
      <c r="A43" t="s">
        <v>537</v>
      </c>
      <c r="B43" t="s">
        <v>538</v>
      </c>
      <c r="C43" t="s">
        <v>76</v>
      </c>
      <c r="D43" t="s">
        <v>169</v>
      </c>
      <c r="E43" t="s">
        <v>171</v>
      </c>
      <c r="F43" t="s">
        <v>80</v>
      </c>
      <c r="G43" t="s">
        <v>168</v>
      </c>
    </row>
    <row r="44" spans="1:7" x14ac:dyDescent="0.2">
      <c r="A44" t="s">
        <v>539</v>
      </c>
      <c r="B44" t="s">
        <v>540</v>
      </c>
      <c r="C44" t="s">
        <v>76</v>
      </c>
      <c r="D44" t="s">
        <v>179</v>
      </c>
      <c r="E44" t="s">
        <v>171</v>
      </c>
      <c r="F44" t="s">
        <v>80</v>
      </c>
      <c r="G44" t="s">
        <v>168</v>
      </c>
    </row>
    <row r="45" spans="1:7" x14ac:dyDescent="0.2">
      <c r="A45" t="s">
        <v>541</v>
      </c>
      <c r="B45" t="s">
        <v>542</v>
      </c>
      <c r="C45" t="s">
        <v>76</v>
      </c>
      <c r="D45" t="s">
        <v>17</v>
      </c>
      <c r="E45" t="s">
        <v>20</v>
      </c>
      <c r="F45" t="s">
        <v>79</v>
      </c>
      <c r="G45" t="s">
        <v>20</v>
      </c>
    </row>
    <row r="46" spans="1:7" x14ac:dyDescent="0.2">
      <c r="A46" t="s">
        <v>543</v>
      </c>
      <c r="B46" t="s">
        <v>544</v>
      </c>
      <c r="C46" t="s">
        <v>76</v>
      </c>
      <c r="D46" t="s">
        <v>174</v>
      </c>
      <c r="E46" t="s">
        <v>176</v>
      </c>
      <c r="F46" t="s">
        <v>80</v>
      </c>
      <c r="G46" t="s">
        <v>176</v>
      </c>
    </row>
    <row r="47" spans="1:7" x14ac:dyDescent="0.2">
      <c r="A47" t="s">
        <v>545</v>
      </c>
      <c r="B47" t="s">
        <v>546</v>
      </c>
      <c r="C47" t="s">
        <v>76</v>
      </c>
      <c r="D47" t="s">
        <v>165</v>
      </c>
      <c r="E47" t="s">
        <v>167</v>
      </c>
      <c r="F47" t="s">
        <v>80</v>
      </c>
      <c r="G47" t="s">
        <v>168</v>
      </c>
    </row>
    <row r="48" spans="1:7" x14ac:dyDescent="0.2">
      <c r="A48" t="s">
        <v>605</v>
      </c>
      <c r="B48" t="s">
        <v>547</v>
      </c>
      <c r="C48" t="s">
        <v>76</v>
      </c>
      <c r="D48" t="s">
        <v>21</v>
      </c>
      <c r="E48" t="s">
        <v>23</v>
      </c>
      <c r="F48" t="s">
        <v>79</v>
      </c>
      <c r="G48" t="s">
        <v>23</v>
      </c>
    </row>
    <row r="49" spans="1:7" x14ac:dyDescent="0.2">
      <c r="A49" t="s">
        <v>548</v>
      </c>
      <c r="B49" t="s">
        <v>549</v>
      </c>
      <c r="C49" t="s">
        <v>76</v>
      </c>
      <c r="D49" t="s">
        <v>550</v>
      </c>
      <c r="E49" t="s">
        <v>51</v>
      </c>
      <c r="F49" t="s">
        <v>79</v>
      </c>
      <c r="G49" t="s">
        <v>51</v>
      </c>
    </row>
    <row r="50" spans="1:7" x14ac:dyDescent="0.2">
      <c r="A50" t="s">
        <v>551</v>
      </c>
      <c r="C50" t="s">
        <v>76</v>
      </c>
      <c r="D50" t="s">
        <v>174</v>
      </c>
      <c r="E50" t="s">
        <v>176</v>
      </c>
      <c r="F50" t="s">
        <v>80</v>
      </c>
      <c r="G50" t="s">
        <v>176</v>
      </c>
    </row>
    <row r="51" spans="1:7" x14ac:dyDescent="0.2">
      <c r="A51" t="s">
        <v>552</v>
      </c>
      <c r="C51" t="s">
        <v>76</v>
      </c>
      <c r="D51" t="s">
        <v>42</v>
      </c>
      <c r="E51" t="s">
        <v>43</v>
      </c>
      <c r="F51" t="s">
        <v>80</v>
      </c>
      <c r="G51" t="s">
        <v>43</v>
      </c>
    </row>
    <row r="52" spans="1:7" x14ac:dyDescent="0.2">
      <c r="A52" t="s">
        <v>606</v>
      </c>
      <c r="B52" t="s">
        <v>553</v>
      </c>
      <c r="C52" t="s">
        <v>76</v>
      </c>
      <c r="D52" t="s">
        <v>35</v>
      </c>
      <c r="E52" t="s">
        <v>32</v>
      </c>
      <c r="F52" t="s">
        <v>79</v>
      </c>
      <c r="G52" t="s">
        <v>32</v>
      </c>
    </row>
    <row r="53" spans="1:7" x14ac:dyDescent="0.2">
      <c r="A53" t="s">
        <v>554</v>
      </c>
      <c r="B53" t="s">
        <v>555</v>
      </c>
      <c r="C53" t="s">
        <v>76</v>
      </c>
      <c r="D53" t="s">
        <v>44</v>
      </c>
      <c r="E53" t="s">
        <v>46</v>
      </c>
      <c r="F53" t="s">
        <v>79</v>
      </c>
      <c r="G53" t="s">
        <v>46</v>
      </c>
    </row>
    <row r="54" spans="1:7" x14ac:dyDescent="0.2">
      <c r="A54" t="s">
        <v>450</v>
      </c>
      <c r="B54" t="s">
        <v>450</v>
      </c>
      <c r="C54" t="s">
        <v>76</v>
      </c>
      <c r="D54" t="s">
        <v>21</v>
      </c>
      <c r="E54" t="s">
        <v>23</v>
      </c>
      <c r="F54" t="s">
        <v>79</v>
      </c>
      <c r="G54" t="s">
        <v>23</v>
      </c>
    </row>
    <row r="55" spans="1:7" x14ac:dyDescent="0.2">
      <c r="A55" t="s">
        <v>556</v>
      </c>
      <c r="B55" t="s">
        <v>557</v>
      </c>
      <c r="C55" t="s">
        <v>76</v>
      </c>
      <c r="D55" t="s">
        <v>165</v>
      </c>
      <c r="E55" t="s">
        <v>167</v>
      </c>
      <c r="F55" t="s">
        <v>80</v>
      </c>
      <c r="G55" t="s">
        <v>168</v>
      </c>
    </row>
    <row r="56" spans="1:7" x14ac:dyDescent="0.2">
      <c r="A56" t="s">
        <v>558</v>
      </c>
      <c r="B56" t="s">
        <v>559</v>
      </c>
      <c r="C56" t="s">
        <v>76</v>
      </c>
      <c r="D56" t="s">
        <v>30</v>
      </c>
      <c r="E56" t="s">
        <v>32</v>
      </c>
      <c r="F56" t="s">
        <v>79</v>
      </c>
      <c r="G56" t="s">
        <v>32</v>
      </c>
    </row>
    <row r="57" spans="1:7" x14ac:dyDescent="0.2">
      <c r="A57" t="s">
        <v>560</v>
      </c>
      <c r="C57" t="s">
        <v>76</v>
      </c>
      <c r="D57" t="s">
        <v>52</v>
      </c>
      <c r="E57" t="s">
        <v>54</v>
      </c>
      <c r="F57" t="s">
        <v>79</v>
      </c>
      <c r="G57" t="s">
        <v>54</v>
      </c>
    </row>
    <row r="58" spans="1:7" x14ac:dyDescent="0.2">
      <c r="A58" t="s">
        <v>208</v>
      </c>
      <c r="B58" t="s">
        <v>208</v>
      </c>
      <c r="C58" t="s">
        <v>76</v>
      </c>
      <c r="D58" t="s">
        <v>550</v>
      </c>
      <c r="E58" t="s">
        <v>51</v>
      </c>
      <c r="F58" t="s">
        <v>79</v>
      </c>
      <c r="G58" t="s">
        <v>51</v>
      </c>
    </row>
    <row r="59" spans="1:7" x14ac:dyDescent="0.2">
      <c r="A59" t="s">
        <v>561</v>
      </c>
      <c r="B59" t="s">
        <v>561</v>
      </c>
      <c r="C59" t="s">
        <v>76</v>
      </c>
      <c r="D59" t="s">
        <v>55</v>
      </c>
      <c r="E59" t="s">
        <v>57</v>
      </c>
      <c r="F59" t="s">
        <v>79</v>
      </c>
      <c r="G59" t="s">
        <v>57</v>
      </c>
    </row>
    <row r="60" spans="1:7" x14ac:dyDescent="0.2">
      <c r="A60" t="s">
        <v>562</v>
      </c>
      <c r="B60" t="s">
        <v>449</v>
      </c>
      <c r="C60" t="s">
        <v>76</v>
      </c>
      <c r="D60" t="s">
        <v>0</v>
      </c>
      <c r="E60" t="s">
        <v>59</v>
      </c>
      <c r="F60" t="s">
        <v>79</v>
      </c>
      <c r="G60" t="s">
        <v>59</v>
      </c>
    </row>
    <row r="61" spans="1:7" x14ac:dyDescent="0.2">
      <c r="A61" t="s">
        <v>563</v>
      </c>
      <c r="C61" t="s">
        <v>76</v>
      </c>
      <c r="D61" t="s">
        <v>62</v>
      </c>
      <c r="E61" t="s">
        <v>64</v>
      </c>
      <c r="F61" t="s">
        <v>79</v>
      </c>
      <c r="G61" t="s">
        <v>64</v>
      </c>
    </row>
    <row r="62" spans="1:7" x14ac:dyDescent="0.2">
      <c r="A62" t="s">
        <v>564</v>
      </c>
      <c r="B62" t="s">
        <v>564</v>
      </c>
      <c r="C62" t="s">
        <v>76</v>
      </c>
      <c r="D62" t="s">
        <v>201</v>
      </c>
      <c r="E62" t="s">
        <v>203</v>
      </c>
      <c r="F62" t="s">
        <v>80</v>
      </c>
      <c r="G62" t="s">
        <v>168</v>
      </c>
    </row>
    <row r="63" spans="1:7" x14ac:dyDescent="0.2">
      <c r="A63" t="s">
        <v>565</v>
      </c>
      <c r="C63" t="s">
        <v>76</v>
      </c>
      <c r="D63" t="s">
        <v>62</v>
      </c>
      <c r="E63" t="s">
        <v>64</v>
      </c>
      <c r="F63" t="s">
        <v>79</v>
      </c>
      <c r="G63" t="s">
        <v>64</v>
      </c>
    </row>
    <row r="64" spans="1:7" x14ac:dyDescent="0.2">
      <c r="A64" t="s">
        <v>566</v>
      </c>
      <c r="C64" t="s">
        <v>76</v>
      </c>
      <c r="D64" t="s">
        <v>550</v>
      </c>
      <c r="E64" t="s">
        <v>51</v>
      </c>
      <c r="F64" t="s">
        <v>79</v>
      </c>
      <c r="G64" t="s">
        <v>51</v>
      </c>
    </row>
    <row r="65" spans="1:7" x14ac:dyDescent="0.2">
      <c r="A65" t="s">
        <v>567</v>
      </c>
      <c r="B65" t="s">
        <v>568</v>
      </c>
      <c r="C65" t="s">
        <v>76</v>
      </c>
      <c r="D65" t="s">
        <v>550</v>
      </c>
      <c r="E65" t="s">
        <v>51</v>
      </c>
      <c r="F65" t="s">
        <v>79</v>
      </c>
      <c r="G65" t="s">
        <v>51</v>
      </c>
    </row>
    <row r="66" spans="1:7" x14ac:dyDescent="0.2">
      <c r="A66" t="s">
        <v>569</v>
      </c>
      <c r="B66" t="s">
        <v>570</v>
      </c>
      <c r="C66" t="s">
        <v>76</v>
      </c>
      <c r="D66" t="s">
        <v>24</v>
      </c>
      <c r="E66" t="s">
        <v>26</v>
      </c>
      <c r="F66" t="s">
        <v>79</v>
      </c>
      <c r="G66" t="s">
        <v>26</v>
      </c>
    </row>
    <row r="67" spans="1:7" x14ac:dyDescent="0.2">
      <c r="A67" t="s">
        <v>571</v>
      </c>
      <c r="B67" t="s">
        <v>571</v>
      </c>
      <c r="C67" t="s">
        <v>76</v>
      </c>
      <c r="D67" t="s">
        <v>179</v>
      </c>
      <c r="E67" t="s">
        <v>171</v>
      </c>
      <c r="F67" t="s">
        <v>80</v>
      </c>
      <c r="G67" t="s">
        <v>168</v>
      </c>
    </row>
    <row r="68" spans="1:7" x14ac:dyDescent="0.2">
      <c r="A68" t="s">
        <v>572</v>
      </c>
      <c r="C68" t="s">
        <v>76</v>
      </c>
      <c r="D68" t="s">
        <v>573</v>
      </c>
      <c r="E68" t="s">
        <v>64</v>
      </c>
      <c r="F68" t="s">
        <v>79</v>
      </c>
      <c r="G68" t="s">
        <v>64</v>
      </c>
    </row>
    <row r="69" spans="1:7" x14ac:dyDescent="0.2">
      <c r="A69" t="s">
        <v>451</v>
      </c>
      <c r="B69" t="s">
        <v>451</v>
      </c>
      <c r="C69" t="s">
        <v>76</v>
      </c>
      <c r="D69" t="s">
        <v>21</v>
      </c>
      <c r="E69" t="s">
        <v>23</v>
      </c>
      <c r="F69" t="s">
        <v>79</v>
      </c>
      <c r="G69" t="s">
        <v>23</v>
      </c>
    </row>
    <row r="70" spans="1:7" x14ac:dyDescent="0.2">
      <c r="A70" t="s">
        <v>574</v>
      </c>
      <c r="B70" t="s">
        <v>575</v>
      </c>
      <c r="C70" t="s">
        <v>76</v>
      </c>
      <c r="D70" t="s">
        <v>37</v>
      </c>
      <c r="E70" t="s">
        <v>39</v>
      </c>
      <c r="F70" t="s">
        <v>79</v>
      </c>
      <c r="G70" t="s">
        <v>39</v>
      </c>
    </row>
    <row r="71" spans="1:7" x14ac:dyDescent="0.2">
      <c r="A71" t="s">
        <v>576</v>
      </c>
      <c r="B71" t="s">
        <v>576</v>
      </c>
      <c r="C71" t="s">
        <v>76</v>
      </c>
      <c r="D71" t="s">
        <v>44</v>
      </c>
      <c r="E71" t="s">
        <v>46</v>
      </c>
      <c r="F71" t="s">
        <v>79</v>
      </c>
      <c r="G71" t="s">
        <v>46</v>
      </c>
    </row>
    <row r="72" spans="1:7" x14ac:dyDescent="0.2">
      <c r="A72" t="s">
        <v>577</v>
      </c>
      <c r="B72" t="s">
        <v>578</v>
      </c>
      <c r="C72" t="s">
        <v>76</v>
      </c>
      <c r="D72" t="s">
        <v>0</v>
      </c>
      <c r="E72" t="s">
        <v>59</v>
      </c>
      <c r="F72" t="s">
        <v>79</v>
      </c>
      <c r="G72" t="s">
        <v>59</v>
      </c>
    </row>
    <row r="73" spans="1:7" x14ac:dyDescent="0.2">
      <c r="A73" t="s">
        <v>579</v>
      </c>
      <c r="B73" t="s">
        <v>580</v>
      </c>
      <c r="C73" t="s">
        <v>76</v>
      </c>
      <c r="D73" t="s">
        <v>55</v>
      </c>
      <c r="E73" t="s">
        <v>57</v>
      </c>
      <c r="F73" t="s">
        <v>79</v>
      </c>
      <c r="G73" t="s">
        <v>57</v>
      </c>
    </row>
    <row r="74" spans="1:7" x14ac:dyDescent="0.2">
      <c r="A74" t="s">
        <v>581</v>
      </c>
      <c r="B74" t="s">
        <v>582</v>
      </c>
      <c r="C74" t="s">
        <v>76</v>
      </c>
      <c r="D74" t="s">
        <v>44</v>
      </c>
      <c r="E74" t="s">
        <v>46</v>
      </c>
      <c r="F74" t="s">
        <v>79</v>
      </c>
      <c r="G74" t="s">
        <v>46</v>
      </c>
    </row>
    <row r="75" spans="1:7" x14ac:dyDescent="0.2">
      <c r="A75" t="s">
        <v>583</v>
      </c>
      <c r="C75" t="s">
        <v>76</v>
      </c>
      <c r="D75" t="s">
        <v>478</v>
      </c>
      <c r="E75" t="s">
        <v>167</v>
      </c>
      <c r="F75" t="s">
        <v>80</v>
      </c>
      <c r="G75" t="s">
        <v>168</v>
      </c>
    </row>
    <row r="76" spans="1:7" x14ac:dyDescent="0.2">
      <c r="A76" t="s">
        <v>584</v>
      </c>
      <c r="C76" t="s">
        <v>76</v>
      </c>
      <c r="D76" t="s">
        <v>177</v>
      </c>
      <c r="E76" t="s">
        <v>27</v>
      </c>
      <c r="F76" t="s">
        <v>80</v>
      </c>
      <c r="G76" t="s">
        <v>27</v>
      </c>
    </row>
    <row r="77" spans="1:7" x14ac:dyDescent="0.2">
      <c r="A77" t="s">
        <v>585</v>
      </c>
      <c r="C77" t="s">
        <v>76</v>
      </c>
      <c r="D77" t="s">
        <v>30</v>
      </c>
      <c r="E77" t="s">
        <v>32</v>
      </c>
      <c r="F77" t="s">
        <v>79</v>
      </c>
      <c r="G77" t="s">
        <v>32</v>
      </c>
    </row>
    <row r="78" spans="1:7" x14ac:dyDescent="0.2">
      <c r="A78" t="s">
        <v>586</v>
      </c>
      <c r="C78" t="s">
        <v>76</v>
      </c>
      <c r="D78" t="s">
        <v>60</v>
      </c>
      <c r="E78" t="s">
        <v>46</v>
      </c>
      <c r="F78" t="s">
        <v>79</v>
      </c>
      <c r="G78" t="s">
        <v>46</v>
      </c>
    </row>
    <row r="79" spans="1:7" x14ac:dyDescent="0.2">
      <c r="A79" t="s">
        <v>587</v>
      </c>
      <c r="B79" t="s">
        <v>588</v>
      </c>
      <c r="C79" t="s">
        <v>76</v>
      </c>
      <c r="D79" t="s">
        <v>60</v>
      </c>
      <c r="E79" t="s">
        <v>46</v>
      </c>
      <c r="F79" t="s">
        <v>79</v>
      </c>
      <c r="G79" t="s">
        <v>46</v>
      </c>
    </row>
    <row r="80" spans="1:7" x14ac:dyDescent="0.2">
      <c r="A80" t="s">
        <v>589</v>
      </c>
      <c r="B80" t="s">
        <v>590</v>
      </c>
      <c r="C80" t="s">
        <v>76</v>
      </c>
      <c r="D80" t="s">
        <v>55</v>
      </c>
      <c r="E80" t="s">
        <v>57</v>
      </c>
      <c r="F80" t="s">
        <v>79</v>
      </c>
      <c r="G80" t="s">
        <v>57</v>
      </c>
    </row>
    <row r="81" spans="1:7" x14ac:dyDescent="0.2">
      <c r="A81" t="s">
        <v>591</v>
      </c>
      <c r="B81" t="s">
        <v>592</v>
      </c>
      <c r="C81" t="s">
        <v>76</v>
      </c>
      <c r="D81" t="s">
        <v>33</v>
      </c>
      <c r="E81" t="s">
        <v>23</v>
      </c>
      <c r="F81" t="s">
        <v>79</v>
      </c>
      <c r="G81" t="s">
        <v>23</v>
      </c>
    </row>
    <row r="82" spans="1:7" x14ac:dyDescent="0.2">
      <c r="A82" t="s">
        <v>593</v>
      </c>
      <c r="B82" t="s">
        <v>594</v>
      </c>
      <c r="C82" t="s">
        <v>76</v>
      </c>
      <c r="D82" t="s">
        <v>21</v>
      </c>
      <c r="E82" t="s">
        <v>23</v>
      </c>
      <c r="F82" t="s">
        <v>79</v>
      </c>
      <c r="G82" t="s">
        <v>23</v>
      </c>
    </row>
    <row r="83" spans="1:7" x14ac:dyDescent="0.2">
      <c r="A83" t="s">
        <v>448</v>
      </c>
      <c r="B83" t="s">
        <v>516</v>
      </c>
      <c r="C83" t="s">
        <v>76</v>
      </c>
      <c r="D83" t="s">
        <v>40</v>
      </c>
      <c r="E83" t="s">
        <v>43</v>
      </c>
      <c r="F83" t="s">
        <v>79</v>
      </c>
      <c r="G83" t="s">
        <v>43</v>
      </c>
    </row>
    <row r="84" spans="1:7" x14ac:dyDescent="0.2">
      <c r="A84" t="s">
        <v>645</v>
      </c>
      <c r="B84" t="s">
        <v>646</v>
      </c>
      <c r="C84" t="s">
        <v>76</v>
      </c>
      <c r="D84" t="s">
        <v>0</v>
      </c>
      <c r="E84" t="s">
        <v>59</v>
      </c>
      <c r="F84" t="s">
        <v>79</v>
      </c>
      <c r="G84" t="s">
        <v>59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33"/>
  <sheetViews>
    <sheetView showGridLines="0" workbookViewId="0">
      <selection activeCell="E5" sqref="E5"/>
    </sheetView>
  </sheetViews>
  <sheetFormatPr defaultRowHeight="12.75" x14ac:dyDescent="0.2"/>
  <cols>
    <col min="1" max="1" width="0.5703125" style="246" customWidth="1"/>
    <col min="2" max="2" width="17.42578125" style="246" bestFit="1" customWidth="1"/>
    <col min="3" max="3" width="3.7109375" style="1" customWidth="1"/>
    <col min="4" max="4" width="15.5703125" style="1" customWidth="1"/>
    <col min="5" max="5" width="23.5703125" style="1" customWidth="1"/>
    <col min="6" max="6" width="13.5703125" style="1" customWidth="1"/>
    <col min="7" max="7" width="12" style="1" bestFit="1" customWidth="1"/>
    <col min="8" max="8" width="14.28515625" style="1" bestFit="1" customWidth="1"/>
    <col min="9" max="9" width="24.42578125" style="1" bestFit="1" customWidth="1"/>
    <col min="10" max="10" width="13.5703125" style="1" bestFit="1" customWidth="1"/>
    <col min="11" max="11" width="11" style="1" bestFit="1" customWidth="1"/>
    <col min="12" max="12" width="16.42578125" style="1" bestFit="1" customWidth="1"/>
    <col min="13" max="13" width="22.85546875" style="1" bestFit="1" customWidth="1"/>
    <col min="14" max="14" width="16.5703125" style="1" customWidth="1"/>
    <col min="15" max="18" width="22.42578125" style="1" customWidth="1"/>
    <col min="19" max="19" width="3.28515625" style="1" bestFit="1" customWidth="1"/>
    <col min="20" max="20" width="4.85546875" style="1" bestFit="1" customWidth="1"/>
    <col min="21" max="21" width="16.42578125" style="1" bestFit="1" customWidth="1"/>
    <col min="22" max="16384" width="9.140625" style="1"/>
  </cols>
  <sheetData>
    <row r="1" spans="1:16" s="127" customFormat="1" ht="36.75" customHeight="1" x14ac:dyDescent="0.2">
      <c r="A1" s="142"/>
      <c r="B1" s="142"/>
    </row>
    <row r="2" spans="1:16" x14ac:dyDescent="0.2">
      <c r="B2" s="248" t="s">
        <v>119</v>
      </c>
    </row>
    <row r="4" spans="1:16" x14ac:dyDescent="0.2">
      <c r="B4" s="248" t="s">
        <v>434</v>
      </c>
    </row>
    <row r="5" spans="1:16" x14ac:dyDescent="0.2">
      <c r="D5" s="2" t="s">
        <v>134</v>
      </c>
      <c r="E5" s="80"/>
      <c r="F5" s="4"/>
      <c r="G5" s="4"/>
      <c r="H5" s="2" t="s">
        <v>135</v>
      </c>
      <c r="I5" s="80"/>
      <c r="J5" s="4"/>
      <c r="K5" s="4"/>
      <c r="L5" s="2" t="s">
        <v>136</v>
      </c>
      <c r="M5" s="80"/>
    </row>
    <row r="6" spans="1:16" x14ac:dyDescent="0.2">
      <c r="B6" s="248" t="s">
        <v>435</v>
      </c>
      <c r="D6" s="2" t="s">
        <v>120</v>
      </c>
      <c r="E6" s="57"/>
      <c r="F6" s="4"/>
      <c r="G6" s="4"/>
      <c r="H6" s="2" t="s">
        <v>121</v>
      </c>
      <c r="I6" s="98"/>
      <c r="J6" s="4"/>
      <c r="K6" s="4"/>
      <c r="L6" s="2" t="s">
        <v>137</v>
      </c>
      <c r="M6" s="98"/>
    </row>
    <row r="7" spans="1:16" x14ac:dyDescent="0.2">
      <c r="D7" s="4"/>
      <c r="E7" s="4"/>
      <c r="F7" s="4"/>
      <c r="G7" s="4"/>
      <c r="H7" s="4"/>
      <c r="I7" s="4"/>
      <c r="J7" s="4"/>
      <c r="K7" s="4"/>
      <c r="L7" s="4"/>
      <c r="M7" s="4"/>
    </row>
    <row r="8" spans="1:16" ht="15" x14ac:dyDescent="0.25">
      <c r="B8" s="248" t="s">
        <v>441</v>
      </c>
      <c r="D8" s="2" t="s">
        <v>141</v>
      </c>
      <c r="E8" s="364"/>
      <c r="F8" s="364"/>
      <c r="G8" s="364"/>
      <c r="H8" s="364"/>
      <c r="I8" s="364"/>
      <c r="J8" s="364"/>
      <c r="K8" s="364"/>
      <c r="L8" s="364"/>
      <c r="M8" s="364"/>
      <c r="N8" s="2"/>
      <c r="O8" s="51" t="s">
        <v>90</v>
      </c>
      <c r="P8" s="58" t="s">
        <v>142</v>
      </c>
    </row>
    <row r="9" spans="1:16" x14ac:dyDescent="0.2">
      <c r="D9" s="2"/>
      <c r="E9" s="2"/>
      <c r="F9" s="4"/>
      <c r="G9" s="4"/>
      <c r="H9" s="4"/>
      <c r="I9" s="4"/>
      <c r="J9" s="4"/>
      <c r="K9" s="4"/>
      <c r="L9" s="4"/>
      <c r="M9" s="4"/>
    </row>
    <row r="10" spans="1:16" ht="15" x14ac:dyDescent="0.2">
      <c r="B10" s="248" t="s">
        <v>436</v>
      </c>
      <c r="D10" s="2" t="s">
        <v>143</v>
      </c>
      <c r="E10" s="289"/>
      <c r="F10" s="2"/>
      <c r="G10" s="2"/>
      <c r="H10" s="2" t="s">
        <v>140</v>
      </c>
      <c r="I10" s="91"/>
      <c r="J10" s="2"/>
      <c r="K10" s="2"/>
      <c r="L10" s="2"/>
      <c r="M10" s="2"/>
    </row>
    <row r="11" spans="1:16" x14ac:dyDescent="0.2">
      <c r="D11" s="2"/>
      <c r="E11" s="2"/>
      <c r="F11" s="2"/>
      <c r="G11" s="2"/>
      <c r="H11" s="2"/>
      <c r="I11" s="2"/>
      <c r="J11" s="2"/>
      <c r="K11" s="2"/>
      <c r="L11" s="2"/>
      <c r="M11" s="2"/>
    </row>
    <row r="12" spans="1:16" x14ac:dyDescent="0.2">
      <c r="B12" s="248" t="s">
        <v>378</v>
      </c>
      <c r="D12" s="2"/>
      <c r="E12" s="2"/>
      <c r="F12" s="2"/>
      <c r="G12" s="2"/>
      <c r="H12" s="2"/>
      <c r="I12" s="2"/>
      <c r="J12" s="2"/>
      <c r="K12" s="2"/>
      <c r="L12" s="2"/>
      <c r="M12" s="2"/>
    </row>
    <row r="13" spans="1:16" x14ac:dyDescent="0.2">
      <c r="D13" s="2"/>
      <c r="E13" s="2"/>
      <c r="F13" s="2"/>
      <c r="G13" s="2"/>
      <c r="H13" s="2"/>
      <c r="I13" s="2"/>
      <c r="J13" s="2"/>
      <c r="K13" s="2"/>
      <c r="L13" s="2"/>
      <c r="M13" s="2"/>
    </row>
    <row r="14" spans="1:16" x14ac:dyDescent="0.2">
      <c r="B14" s="248" t="s">
        <v>437</v>
      </c>
      <c r="D14" s="2"/>
      <c r="E14" s="2"/>
      <c r="F14" s="2"/>
      <c r="G14" s="2"/>
      <c r="H14" s="2"/>
      <c r="I14" s="2"/>
      <c r="J14" s="2"/>
      <c r="K14" s="2"/>
      <c r="L14" s="2"/>
      <c r="M14" s="2"/>
    </row>
    <row r="15" spans="1:16" x14ac:dyDescent="0.2">
      <c r="D15" s="2"/>
      <c r="E15" s="2"/>
      <c r="F15" s="2"/>
      <c r="G15" s="2"/>
      <c r="H15" s="2"/>
      <c r="I15" s="2"/>
      <c r="J15" s="2"/>
      <c r="K15" s="2"/>
      <c r="L15" s="2"/>
      <c r="M15" s="2"/>
    </row>
    <row r="16" spans="1:16" ht="13.5" thickBot="1" x14ac:dyDescent="0.25">
      <c r="B16" s="248" t="s">
        <v>617</v>
      </c>
    </row>
    <row r="17" spans="4:14" x14ac:dyDescent="0.2">
      <c r="D17" s="365" t="s">
        <v>144</v>
      </c>
      <c r="E17" s="59" t="s">
        <v>145</v>
      </c>
      <c r="F17" s="60">
        <v>0</v>
      </c>
      <c r="G17" s="2"/>
      <c r="H17" s="368" t="s">
        <v>146</v>
      </c>
      <c r="I17" s="61" t="s">
        <v>147</v>
      </c>
      <c r="J17" s="60">
        <v>0</v>
      </c>
      <c r="K17" s="2"/>
      <c r="L17" s="371" t="s">
        <v>148</v>
      </c>
      <c r="M17" s="62" t="s">
        <v>149</v>
      </c>
      <c r="N17" s="60">
        <v>0</v>
      </c>
    </row>
    <row r="18" spans="4:14" x14ac:dyDescent="0.2">
      <c r="D18" s="366"/>
      <c r="E18" s="63" t="s">
        <v>94</v>
      </c>
      <c r="F18" s="64">
        <v>0</v>
      </c>
      <c r="G18" s="2"/>
      <c r="H18" s="369"/>
      <c r="I18" s="65" t="s">
        <v>95</v>
      </c>
      <c r="J18" s="64">
        <v>0</v>
      </c>
      <c r="K18" s="2"/>
      <c r="L18" s="372"/>
      <c r="M18" s="66" t="s">
        <v>96</v>
      </c>
      <c r="N18" s="64">
        <v>0</v>
      </c>
    </row>
    <row r="19" spans="4:14" x14ac:dyDescent="0.2">
      <c r="D19" s="366"/>
      <c r="E19" s="63" t="s">
        <v>150</v>
      </c>
      <c r="F19" s="67" t="s">
        <v>129</v>
      </c>
      <c r="G19" s="2"/>
      <c r="H19" s="369"/>
      <c r="I19" s="65" t="s">
        <v>151</v>
      </c>
      <c r="J19" s="67" t="s">
        <v>129</v>
      </c>
      <c r="K19" s="2"/>
      <c r="L19" s="372"/>
      <c r="M19" s="66" t="s">
        <v>152</v>
      </c>
      <c r="N19" s="67" t="s">
        <v>129</v>
      </c>
    </row>
    <row r="20" spans="4:14" x14ac:dyDescent="0.2">
      <c r="D20" s="366"/>
      <c r="E20" s="63" t="s">
        <v>101</v>
      </c>
      <c r="F20" s="68">
        <v>0</v>
      </c>
      <c r="G20" s="2"/>
      <c r="H20" s="369"/>
      <c r="I20" s="65" t="s">
        <v>102</v>
      </c>
      <c r="J20" s="68">
        <v>0</v>
      </c>
      <c r="K20" s="2"/>
      <c r="L20" s="372"/>
      <c r="M20" s="66" t="s">
        <v>103</v>
      </c>
      <c r="N20" s="68">
        <v>0</v>
      </c>
    </row>
    <row r="21" spans="4:14" x14ac:dyDescent="0.2">
      <c r="D21" s="366"/>
      <c r="E21" s="63" t="s">
        <v>153</v>
      </c>
      <c r="F21" s="69">
        <v>0</v>
      </c>
      <c r="G21" s="2"/>
      <c r="H21" s="369"/>
      <c r="I21" s="65" t="s">
        <v>154</v>
      </c>
      <c r="J21" s="69">
        <v>0</v>
      </c>
      <c r="K21" s="2"/>
      <c r="L21" s="372"/>
      <c r="M21" s="66" t="s">
        <v>155</v>
      </c>
      <c r="N21" s="69">
        <v>0</v>
      </c>
    </row>
    <row r="22" spans="4:14" x14ac:dyDescent="0.2">
      <c r="D22" s="366"/>
      <c r="E22" s="63" t="s">
        <v>156</v>
      </c>
      <c r="F22" s="69">
        <v>0</v>
      </c>
      <c r="G22" s="2"/>
      <c r="H22" s="369"/>
      <c r="I22" s="65" t="s">
        <v>157</v>
      </c>
      <c r="J22" s="69">
        <v>0</v>
      </c>
      <c r="K22" s="2"/>
      <c r="L22" s="372"/>
      <c r="M22" s="66" t="s">
        <v>158</v>
      </c>
      <c r="N22" s="69">
        <v>0</v>
      </c>
    </row>
    <row r="23" spans="4:14" ht="13.5" thickBot="1" x14ac:dyDescent="0.25">
      <c r="D23" s="367"/>
      <c r="E23" s="70" t="s">
        <v>159</v>
      </c>
      <c r="F23" s="71">
        <v>0</v>
      </c>
      <c r="G23" s="2"/>
      <c r="H23" s="370"/>
      <c r="I23" s="72" t="s">
        <v>160</v>
      </c>
      <c r="J23" s="71">
        <v>0</v>
      </c>
      <c r="K23" s="2"/>
      <c r="L23" s="373"/>
      <c r="M23" s="73" t="s">
        <v>161</v>
      </c>
      <c r="N23" s="71">
        <v>0</v>
      </c>
    </row>
    <row r="24" spans="4:14" ht="13.5" thickBot="1" x14ac:dyDescent="0.25">
      <c r="D24" s="2"/>
      <c r="E24" s="2"/>
      <c r="F24" s="2"/>
      <c r="G24" s="2"/>
      <c r="H24" s="2"/>
      <c r="I24" s="2"/>
      <c r="J24" s="2"/>
      <c r="K24" s="2"/>
      <c r="L24" s="2"/>
      <c r="M24" s="2"/>
      <c r="N24" s="2"/>
    </row>
    <row r="25" spans="4:14" ht="13.5" thickBot="1" x14ac:dyDescent="0.25">
      <c r="D25" s="374" t="s">
        <v>162</v>
      </c>
      <c r="E25" s="375"/>
      <c r="F25" s="74" t="s">
        <v>129</v>
      </c>
      <c r="G25" s="2"/>
      <c r="H25" s="2"/>
      <c r="I25" s="2"/>
      <c r="J25" s="2"/>
      <c r="K25" s="2"/>
      <c r="L25" s="2"/>
      <c r="M25" s="2"/>
      <c r="N25" s="2"/>
    </row>
    <row r="26" spans="4:14" x14ac:dyDescent="0.2">
      <c r="D26" s="179" t="s">
        <v>104</v>
      </c>
      <c r="E26" s="75">
        <v>0</v>
      </c>
      <c r="F26" s="76">
        <v>0</v>
      </c>
      <c r="G26" s="2"/>
      <c r="H26" s="2"/>
      <c r="I26" s="2"/>
      <c r="J26" s="2"/>
      <c r="K26" s="2"/>
      <c r="L26" s="2"/>
      <c r="M26" s="2"/>
      <c r="N26" s="2"/>
    </row>
    <row r="27" spans="4:14" x14ac:dyDescent="0.2">
      <c r="D27" s="180" t="s">
        <v>105</v>
      </c>
      <c r="E27" s="77">
        <v>0</v>
      </c>
      <c r="F27" s="68">
        <v>0</v>
      </c>
      <c r="G27" s="2"/>
      <c r="H27" s="2"/>
      <c r="I27" s="2"/>
      <c r="J27" s="2"/>
      <c r="K27" s="2"/>
      <c r="L27" s="2"/>
      <c r="M27" s="2"/>
      <c r="N27" s="2"/>
    </row>
    <row r="28" spans="4:14" ht="13.5" thickBot="1" x14ac:dyDescent="0.25">
      <c r="D28" s="178" t="s">
        <v>106</v>
      </c>
      <c r="E28" s="78">
        <v>0</v>
      </c>
      <c r="F28" s="79">
        <v>0</v>
      </c>
      <c r="G28" s="2"/>
      <c r="H28" s="2"/>
      <c r="I28" s="2"/>
      <c r="J28" s="2"/>
      <c r="K28" s="2"/>
      <c r="L28" s="2"/>
      <c r="M28" s="2"/>
      <c r="N28" s="2"/>
    </row>
    <row r="29" spans="4:14" ht="13.5" thickBot="1" x14ac:dyDescent="0.25">
      <c r="D29" s="2"/>
      <c r="E29" s="2"/>
      <c r="F29" s="2"/>
      <c r="G29" s="2"/>
      <c r="H29" s="2"/>
      <c r="I29" s="2"/>
      <c r="J29" s="2"/>
      <c r="K29" s="2"/>
      <c r="L29" s="2"/>
      <c r="M29" s="2"/>
      <c r="N29" s="2"/>
    </row>
    <row r="30" spans="4:14" ht="13.5" thickBot="1" x14ac:dyDescent="0.25">
      <c r="D30" s="362" t="s">
        <v>415</v>
      </c>
      <c r="E30" s="363"/>
      <c r="F30" s="173"/>
      <c r="H30" s="362" t="s">
        <v>417</v>
      </c>
      <c r="I30" s="363"/>
      <c r="J30" s="173"/>
      <c r="L30" s="362" t="s">
        <v>418</v>
      </c>
      <c r="M30" s="363"/>
      <c r="N30" s="173"/>
    </row>
    <row r="31" spans="4:14" x14ac:dyDescent="0.2">
      <c r="D31" s="179" t="s">
        <v>104</v>
      </c>
      <c r="E31" s="175">
        <v>0</v>
      </c>
      <c r="F31" s="174"/>
      <c r="H31" s="179" t="s">
        <v>104</v>
      </c>
      <c r="I31" s="175">
        <v>0</v>
      </c>
      <c r="J31" s="174"/>
      <c r="L31" s="179" t="s">
        <v>104</v>
      </c>
      <c r="M31" s="175">
        <v>0</v>
      </c>
      <c r="N31" s="174"/>
    </row>
    <row r="32" spans="4:14" x14ac:dyDescent="0.2">
      <c r="D32" s="180" t="s">
        <v>105</v>
      </c>
      <c r="E32" s="176">
        <v>0</v>
      </c>
      <c r="F32" s="174"/>
      <c r="H32" s="180" t="s">
        <v>105</v>
      </c>
      <c r="I32" s="176">
        <v>0</v>
      </c>
      <c r="J32" s="174"/>
      <c r="L32" s="180" t="s">
        <v>105</v>
      </c>
      <c r="M32" s="176">
        <v>0</v>
      </c>
      <c r="N32" s="174"/>
    </row>
    <row r="33" spans="4:14" ht="13.5" thickBot="1" x14ac:dyDescent="0.25">
      <c r="D33" s="178" t="s">
        <v>106</v>
      </c>
      <c r="E33" s="177">
        <v>0</v>
      </c>
      <c r="F33" s="174"/>
      <c r="H33" s="178" t="s">
        <v>106</v>
      </c>
      <c r="I33" s="177">
        <v>0</v>
      </c>
      <c r="J33" s="174"/>
      <c r="L33" s="178" t="s">
        <v>106</v>
      </c>
      <c r="M33" s="177">
        <v>0</v>
      </c>
      <c r="N33" s="174"/>
    </row>
  </sheetData>
  <mergeCells count="8">
    <mergeCell ref="D30:E30"/>
    <mergeCell ref="H30:I30"/>
    <mergeCell ref="L30:M30"/>
    <mergeCell ref="E8:M8"/>
    <mergeCell ref="D17:D23"/>
    <mergeCell ref="H17:H23"/>
    <mergeCell ref="L17:L23"/>
    <mergeCell ref="D25:E25"/>
  </mergeCells>
  <conditionalFormatting sqref="F25">
    <cfRule type="cellIs" dxfId="88" priority="33" operator="equal">
      <formula>"Not Met"</formula>
    </cfRule>
  </conditionalFormatting>
  <conditionalFormatting sqref="F19 J19 N19 F25">
    <cfRule type="cellIs" dxfId="87" priority="32" operator="equal">
      <formula>"""Met"""</formula>
    </cfRule>
  </conditionalFormatting>
  <conditionalFormatting sqref="F19">
    <cfRule type="cellIs" dxfId="86" priority="28" operator="equal">
      <formula>"Not Met"</formula>
    </cfRule>
    <cfRule type="cellIs" dxfId="85" priority="31" operator="equal">
      <formula>"Met"</formula>
    </cfRule>
  </conditionalFormatting>
  <conditionalFormatting sqref="J19">
    <cfRule type="cellIs" dxfId="84" priority="30" operator="equal">
      <formula>"Met"</formula>
    </cfRule>
  </conditionalFormatting>
  <conditionalFormatting sqref="N19">
    <cfRule type="cellIs" dxfId="83" priority="29" operator="equal">
      <formula>"Met"</formula>
    </cfRule>
  </conditionalFormatting>
  <conditionalFormatting sqref="J19">
    <cfRule type="cellIs" dxfId="82" priority="26" operator="equal">
      <formula>"Not Met"</formula>
    </cfRule>
    <cfRule type="cellIs" dxfId="81" priority="27" operator="equal">
      <formula>"Met"</formula>
    </cfRule>
  </conditionalFormatting>
  <conditionalFormatting sqref="N19">
    <cfRule type="cellIs" dxfId="80" priority="25" operator="equal">
      <formula>"Met"</formula>
    </cfRule>
  </conditionalFormatting>
  <conditionalFormatting sqref="N19">
    <cfRule type="cellIs" dxfId="79" priority="23" operator="equal">
      <formula>"Not Met"</formula>
    </cfRule>
    <cfRule type="cellIs" dxfId="78" priority="24" operator="equal">
      <formula>"Met"</formula>
    </cfRule>
  </conditionalFormatting>
  <conditionalFormatting sqref="F25">
    <cfRule type="cellIs" dxfId="77" priority="22" operator="equal">
      <formula>"Met"</formula>
    </cfRule>
  </conditionalFormatting>
  <conditionalFormatting sqref="F25">
    <cfRule type="cellIs" dxfId="76" priority="21" operator="equal">
      <formula>"Met"</formula>
    </cfRule>
  </conditionalFormatting>
  <conditionalFormatting sqref="F25">
    <cfRule type="cellIs" dxfId="75" priority="19" operator="equal">
      <formula>"Not Met"</formula>
    </cfRule>
    <cfRule type="cellIs" dxfId="74" priority="20" operator="equal">
      <formula>"Met"</formula>
    </cfRule>
  </conditionalFormatting>
  <conditionalFormatting sqref="F30">
    <cfRule type="cellIs" dxfId="73" priority="18" operator="equal">
      <formula>"Not Met"</formula>
    </cfRule>
  </conditionalFormatting>
  <conditionalFormatting sqref="F30">
    <cfRule type="cellIs" dxfId="72" priority="17" operator="equal">
      <formula>"""Met"""</formula>
    </cfRule>
  </conditionalFormatting>
  <conditionalFormatting sqref="F30">
    <cfRule type="cellIs" dxfId="71" priority="16" operator="equal">
      <formula>"Met"</formula>
    </cfRule>
  </conditionalFormatting>
  <conditionalFormatting sqref="F30">
    <cfRule type="cellIs" dxfId="70" priority="15" operator="equal">
      <formula>"Met"</formula>
    </cfRule>
  </conditionalFormatting>
  <conditionalFormatting sqref="F30">
    <cfRule type="cellIs" dxfId="69" priority="13" operator="equal">
      <formula>"Not Met"</formula>
    </cfRule>
    <cfRule type="cellIs" dxfId="68" priority="14" operator="equal">
      <formula>"Met"</formula>
    </cfRule>
  </conditionalFormatting>
  <conditionalFormatting sqref="J30">
    <cfRule type="cellIs" dxfId="67" priority="12" operator="equal">
      <formula>"Not Met"</formula>
    </cfRule>
  </conditionalFormatting>
  <conditionalFormatting sqref="J30">
    <cfRule type="cellIs" dxfId="66" priority="11" operator="equal">
      <formula>"""Met"""</formula>
    </cfRule>
  </conditionalFormatting>
  <conditionalFormatting sqref="J30">
    <cfRule type="cellIs" dxfId="65" priority="10" operator="equal">
      <formula>"Met"</formula>
    </cfRule>
  </conditionalFormatting>
  <conditionalFormatting sqref="J30">
    <cfRule type="cellIs" dxfId="64" priority="9" operator="equal">
      <formula>"Met"</formula>
    </cfRule>
  </conditionalFormatting>
  <conditionalFormatting sqref="J30">
    <cfRule type="cellIs" dxfId="63" priority="7" operator="equal">
      <formula>"Not Met"</formula>
    </cfRule>
    <cfRule type="cellIs" dxfId="62" priority="8" operator="equal">
      <formula>"Met"</formula>
    </cfRule>
  </conditionalFormatting>
  <conditionalFormatting sqref="N30">
    <cfRule type="cellIs" dxfId="61" priority="6" operator="equal">
      <formula>"Not Met"</formula>
    </cfRule>
  </conditionalFormatting>
  <conditionalFormatting sqref="N30">
    <cfRule type="cellIs" dxfId="60" priority="5" operator="equal">
      <formula>"""Met"""</formula>
    </cfRule>
  </conditionalFormatting>
  <conditionalFormatting sqref="N30">
    <cfRule type="cellIs" dxfId="59" priority="4" operator="equal">
      <formula>"Met"</formula>
    </cfRule>
  </conditionalFormatting>
  <conditionalFormatting sqref="N30">
    <cfRule type="cellIs" dxfId="58" priority="3" operator="equal">
      <formula>"Met"</formula>
    </cfRule>
  </conditionalFormatting>
  <conditionalFormatting sqref="N30">
    <cfRule type="cellIs" dxfId="57" priority="1" operator="equal">
      <formula>"Not Met"</formula>
    </cfRule>
    <cfRule type="cellIs" dxfId="56" priority="2" operator="equal">
      <formula>"Met"</formula>
    </cfRule>
  </conditionalFormatting>
  <dataValidations count="2">
    <dataValidation type="list" allowBlank="1" showInputMessage="1" showErrorMessage="1" sqref="I6">
      <formula1>Periods</formula1>
    </dataValidation>
    <dataValidation type="list" allowBlank="1" showInputMessage="1" showErrorMessage="1" sqref="M6">
      <formula1>Band</formula1>
    </dataValidation>
  </dataValidations>
  <hyperlinks>
    <hyperlink ref="B2" location="Dashboard!A1" display="Dashboard"/>
    <hyperlink ref="B4" location="'Performance Stats'!A1" display="Performance Analysis"/>
    <hyperlink ref="B6" location="'TD Planner'!A1" display="TD Planner"/>
    <hyperlink ref="B10" location="'Urgent Escalation'!A1" display="Urgent Escalation"/>
    <hyperlink ref="B14" location="'Existing Bonus File'!A1" display="Contact Review File"/>
    <hyperlink ref="B8" location="'Employee Management'!A1" display="Staff Record"/>
    <hyperlink ref="B12" location="PDP!A1" display="PDP"/>
    <hyperlink ref="B16" location="'Meeting Log'!A1" display="Meeting Log"/>
  </hyperlink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x14:formula1>
            <xm:f>Staffs!$A:$A</xm:f>
          </x14:formula1>
          <xm:sqref>E5</xm:sqref>
        </x14:dataValidation>
        <x14:dataValidation type="list" allowBlank="1" showInputMessage="1">
          <x14:formula1>
            <xm:f>Supervisor!$A:$A</xm:f>
          </x14:formula1>
          <xm:sqref>I5</xm:sqref>
        </x14:dataValidation>
        <x14:dataValidation type="list" allowBlank="1" showInputMessage="1">
          <x14:formula1>
            <xm:f>TeamLeader!$A:$A</xm:f>
          </x14:formula1>
          <xm:sqref>M5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27"/>
  <sheetViews>
    <sheetView workbookViewId="0">
      <selection activeCell="K45" sqref="K45"/>
    </sheetView>
  </sheetViews>
  <sheetFormatPr defaultRowHeight="12.75" x14ac:dyDescent="0.2"/>
  <sheetData>
    <row r="1" spans="1:7" x14ac:dyDescent="0.2">
      <c r="A1" s="11" t="s">
        <v>17</v>
      </c>
      <c r="B1" s="11" t="s">
        <v>18</v>
      </c>
      <c r="C1" s="11" t="s">
        <v>19</v>
      </c>
      <c r="D1" s="11"/>
      <c r="E1" s="11" t="s">
        <v>20</v>
      </c>
      <c r="F1" s="11" t="s">
        <v>79</v>
      </c>
      <c r="G1" s="11" t="s">
        <v>20</v>
      </c>
    </row>
    <row r="2" spans="1:7" x14ac:dyDescent="0.2">
      <c r="A2" t="s">
        <v>165</v>
      </c>
      <c r="B2" t="s">
        <v>166</v>
      </c>
      <c r="C2" t="s">
        <v>19</v>
      </c>
      <c r="E2" t="s">
        <v>167</v>
      </c>
      <c r="F2" t="s">
        <v>80</v>
      </c>
      <c r="G2" t="s">
        <v>168</v>
      </c>
    </row>
    <row r="3" spans="1:7" x14ac:dyDescent="0.2">
      <c r="A3" t="s">
        <v>169</v>
      </c>
      <c r="B3" t="s">
        <v>170</v>
      </c>
      <c r="C3" t="s">
        <v>19</v>
      </c>
      <c r="E3" t="s">
        <v>171</v>
      </c>
      <c r="F3" t="s">
        <v>80</v>
      </c>
      <c r="G3" t="s">
        <v>168</v>
      </c>
    </row>
    <row r="4" spans="1:7" x14ac:dyDescent="0.2">
      <c r="A4" t="s">
        <v>172</v>
      </c>
      <c r="B4" t="s">
        <v>173</v>
      </c>
      <c r="C4" t="s">
        <v>19</v>
      </c>
      <c r="E4" t="s">
        <v>167</v>
      </c>
      <c r="F4" t="s">
        <v>80</v>
      </c>
      <c r="G4" t="s">
        <v>168</v>
      </c>
    </row>
    <row r="5" spans="1:7" x14ac:dyDescent="0.2">
      <c r="A5" t="s">
        <v>174</v>
      </c>
      <c r="B5" t="s">
        <v>175</v>
      </c>
      <c r="C5" t="s">
        <v>19</v>
      </c>
      <c r="E5" t="s">
        <v>176</v>
      </c>
      <c r="F5" t="s">
        <v>80</v>
      </c>
      <c r="G5" t="s">
        <v>176</v>
      </c>
    </row>
    <row r="6" spans="1:7" x14ac:dyDescent="0.2">
      <c r="A6" t="s">
        <v>21</v>
      </c>
      <c r="B6" t="s">
        <v>22</v>
      </c>
      <c r="C6" t="s">
        <v>19</v>
      </c>
      <c r="E6" t="s">
        <v>23</v>
      </c>
      <c r="F6" t="s">
        <v>79</v>
      </c>
      <c r="G6" t="s">
        <v>23</v>
      </c>
    </row>
    <row r="7" spans="1:7" x14ac:dyDescent="0.2">
      <c r="A7" t="s">
        <v>24</v>
      </c>
      <c r="B7" t="s">
        <v>25</v>
      </c>
      <c r="C7" t="s">
        <v>19</v>
      </c>
      <c r="E7" t="s">
        <v>26</v>
      </c>
      <c r="F7" t="s">
        <v>79</v>
      </c>
      <c r="G7" t="s">
        <v>26</v>
      </c>
    </row>
    <row r="8" spans="1:7" x14ac:dyDescent="0.2">
      <c r="A8" t="s">
        <v>177</v>
      </c>
      <c r="B8" t="s">
        <v>178</v>
      </c>
      <c r="C8" t="s">
        <v>19</v>
      </c>
      <c r="E8" t="s">
        <v>27</v>
      </c>
      <c r="F8" t="s">
        <v>80</v>
      </c>
      <c r="G8" t="s">
        <v>27</v>
      </c>
    </row>
    <row r="9" spans="1:7" x14ac:dyDescent="0.2">
      <c r="A9" t="s">
        <v>28</v>
      </c>
      <c r="B9" t="s">
        <v>29</v>
      </c>
      <c r="C9" t="s">
        <v>19</v>
      </c>
      <c r="E9" t="s">
        <v>27</v>
      </c>
      <c r="F9" t="s">
        <v>80</v>
      </c>
      <c r="G9" t="s">
        <v>27</v>
      </c>
    </row>
    <row r="10" spans="1:7" x14ac:dyDescent="0.2">
      <c r="A10" t="s">
        <v>179</v>
      </c>
      <c r="B10" t="s">
        <v>180</v>
      </c>
      <c r="C10" t="s">
        <v>19</v>
      </c>
      <c r="E10" t="s">
        <v>171</v>
      </c>
      <c r="F10" t="s">
        <v>80</v>
      </c>
      <c r="G10" t="s">
        <v>168</v>
      </c>
    </row>
    <row r="11" spans="1:7" x14ac:dyDescent="0.2">
      <c r="A11" t="s">
        <v>30</v>
      </c>
      <c r="B11" t="s">
        <v>31</v>
      </c>
      <c r="C11" t="s">
        <v>19</v>
      </c>
      <c r="E11" t="s">
        <v>32</v>
      </c>
      <c r="F11" t="s">
        <v>79</v>
      </c>
      <c r="G11" t="s">
        <v>32</v>
      </c>
    </row>
    <row r="12" spans="1:7" x14ac:dyDescent="0.2">
      <c r="A12" t="s">
        <v>33</v>
      </c>
      <c r="B12" t="s">
        <v>34</v>
      </c>
      <c r="C12" t="s">
        <v>19</v>
      </c>
      <c r="E12" t="s">
        <v>23</v>
      </c>
      <c r="F12" t="s">
        <v>79</v>
      </c>
      <c r="G12" t="s">
        <v>23</v>
      </c>
    </row>
    <row r="13" spans="1:7" x14ac:dyDescent="0.2">
      <c r="A13" t="s">
        <v>35</v>
      </c>
      <c r="B13" t="s">
        <v>36</v>
      </c>
      <c r="C13" t="s">
        <v>19</v>
      </c>
      <c r="E13" t="s">
        <v>32</v>
      </c>
      <c r="F13" t="s">
        <v>79</v>
      </c>
      <c r="G13" t="s">
        <v>32</v>
      </c>
    </row>
    <row r="14" spans="1:7" x14ac:dyDescent="0.2">
      <c r="A14" t="s">
        <v>37</v>
      </c>
      <c r="B14" t="s">
        <v>38</v>
      </c>
      <c r="C14" t="s">
        <v>19</v>
      </c>
      <c r="D14" t="s">
        <v>37</v>
      </c>
      <c r="E14" t="s">
        <v>39</v>
      </c>
      <c r="F14" t="s">
        <v>79</v>
      </c>
      <c r="G14" t="s">
        <v>39</v>
      </c>
    </row>
    <row r="15" spans="1:7" x14ac:dyDescent="0.2">
      <c r="A15" t="s">
        <v>40</v>
      </c>
      <c r="B15" t="s">
        <v>41</v>
      </c>
      <c r="C15" t="s">
        <v>19</v>
      </c>
      <c r="E15" t="s">
        <v>43</v>
      </c>
      <c r="F15" t="s">
        <v>79</v>
      </c>
      <c r="G15" t="s">
        <v>43</v>
      </c>
    </row>
    <row r="16" spans="1:7" x14ac:dyDescent="0.2">
      <c r="A16" t="s">
        <v>181</v>
      </c>
      <c r="B16" t="s">
        <v>182</v>
      </c>
      <c r="C16" t="s">
        <v>19</v>
      </c>
      <c r="E16" t="s">
        <v>176</v>
      </c>
      <c r="F16" t="s">
        <v>80</v>
      </c>
      <c r="G16" t="s">
        <v>176</v>
      </c>
    </row>
    <row r="17" spans="1:7" x14ac:dyDescent="0.2">
      <c r="A17" t="s">
        <v>44</v>
      </c>
      <c r="B17" t="s">
        <v>45</v>
      </c>
      <c r="C17" t="s">
        <v>19</v>
      </c>
      <c r="D17" t="s">
        <v>44</v>
      </c>
      <c r="E17" t="s">
        <v>46</v>
      </c>
      <c r="F17" t="s">
        <v>79</v>
      </c>
      <c r="G17" t="s">
        <v>46</v>
      </c>
    </row>
    <row r="18" spans="1:7" x14ac:dyDescent="0.2">
      <c r="A18" t="s">
        <v>47</v>
      </c>
      <c r="B18" t="s">
        <v>48</v>
      </c>
      <c r="C18" t="s">
        <v>19</v>
      </c>
      <c r="F18" t="s">
        <v>79</v>
      </c>
      <c r="G18" t="s">
        <v>49</v>
      </c>
    </row>
    <row r="19" spans="1:7" x14ac:dyDescent="0.2">
      <c r="A19" t="s">
        <v>550</v>
      </c>
      <c r="B19" t="s">
        <v>50</v>
      </c>
      <c r="C19" t="s">
        <v>19</v>
      </c>
      <c r="E19" t="s">
        <v>51</v>
      </c>
      <c r="F19" t="s">
        <v>79</v>
      </c>
      <c r="G19" t="s">
        <v>51</v>
      </c>
    </row>
    <row r="20" spans="1:7" x14ac:dyDescent="0.2">
      <c r="A20" t="s">
        <v>52</v>
      </c>
      <c r="B20" t="s">
        <v>53</v>
      </c>
      <c r="C20" t="s">
        <v>19</v>
      </c>
      <c r="E20" t="s">
        <v>54</v>
      </c>
      <c r="F20" t="s">
        <v>79</v>
      </c>
      <c r="G20" t="s">
        <v>54</v>
      </c>
    </row>
    <row r="21" spans="1:7" x14ac:dyDescent="0.2">
      <c r="A21" t="s">
        <v>55</v>
      </c>
      <c r="B21" t="s">
        <v>56</v>
      </c>
      <c r="C21" t="s">
        <v>19</v>
      </c>
      <c r="D21" t="s">
        <v>55</v>
      </c>
      <c r="E21" t="s">
        <v>57</v>
      </c>
      <c r="F21" t="s">
        <v>79</v>
      </c>
      <c r="G21" t="s">
        <v>57</v>
      </c>
    </row>
    <row r="22" spans="1:7" x14ac:dyDescent="0.2">
      <c r="A22" t="s">
        <v>183</v>
      </c>
      <c r="B22" t="s">
        <v>184</v>
      </c>
      <c r="C22" t="s">
        <v>19</v>
      </c>
      <c r="D22" t="s">
        <v>183</v>
      </c>
      <c r="E22" t="s">
        <v>185</v>
      </c>
      <c r="F22" t="s">
        <v>80</v>
      </c>
      <c r="G22" t="s">
        <v>185</v>
      </c>
    </row>
    <row r="23" spans="1:7" x14ac:dyDescent="0.2">
      <c r="A23" t="s">
        <v>0</v>
      </c>
      <c r="B23" t="s">
        <v>58</v>
      </c>
      <c r="C23" t="s">
        <v>19</v>
      </c>
      <c r="E23" t="s">
        <v>59</v>
      </c>
      <c r="F23" t="s">
        <v>79</v>
      </c>
      <c r="G23" t="s">
        <v>59</v>
      </c>
    </row>
    <row r="24" spans="1:7" x14ac:dyDescent="0.2">
      <c r="A24" t="s">
        <v>186</v>
      </c>
      <c r="B24" t="s">
        <v>187</v>
      </c>
      <c r="C24" t="s">
        <v>19</v>
      </c>
      <c r="E24" t="s">
        <v>171</v>
      </c>
      <c r="F24" t="s">
        <v>80</v>
      </c>
      <c r="G24" t="s">
        <v>168</v>
      </c>
    </row>
    <row r="25" spans="1:7" x14ac:dyDescent="0.2">
      <c r="A25" t="s">
        <v>60</v>
      </c>
      <c r="B25" t="s">
        <v>61</v>
      </c>
      <c r="C25" t="s">
        <v>19</v>
      </c>
      <c r="E25" t="s">
        <v>46</v>
      </c>
      <c r="F25" t="s">
        <v>79</v>
      </c>
      <c r="G25" t="s">
        <v>46</v>
      </c>
    </row>
    <row r="26" spans="1:7" x14ac:dyDescent="0.2">
      <c r="A26" t="s">
        <v>597</v>
      </c>
      <c r="B26" t="s">
        <v>598</v>
      </c>
      <c r="C26" t="s">
        <v>19</v>
      </c>
      <c r="E26" t="s">
        <v>599</v>
      </c>
      <c r="F26" t="s">
        <v>79</v>
      </c>
    </row>
    <row r="27" spans="1:7" x14ac:dyDescent="0.2">
      <c r="A27" t="s">
        <v>62</v>
      </c>
      <c r="B27" t="s">
        <v>63</v>
      </c>
      <c r="C27" t="s">
        <v>19</v>
      </c>
      <c r="E27" t="s">
        <v>64</v>
      </c>
      <c r="F27" t="s">
        <v>79</v>
      </c>
      <c r="G27" t="s">
        <v>64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21"/>
  <sheetViews>
    <sheetView workbookViewId="0">
      <selection activeCell="G19" sqref="G19"/>
    </sheetView>
  </sheetViews>
  <sheetFormatPr defaultRowHeight="12.75" x14ac:dyDescent="0.2"/>
  <sheetData>
    <row r="1" spans="1:7" x14ac:dyDescent="0.2">
      <c r="A1" s="11" t="s">
        <v>39</v>
      </c>
      <c r="B1" s="11" t="s">
        <v>188</v>
      </c>
      <c r="C1" s="11" t="s">
        <v>14</v>
      </c>
      <c r="D1" s="11"/>
      <c r="E1" s="11"/>
      <c r="F1" s="11" t="s">
        <v>79</v>
      </c>
      <c r="G1" s="11" t="s">
        <v>39</v>
      </c>
    </row>
    <row r="2" spans="1:7" x14ac:dyDescent="0.2">
      <c r="A2" t="s">
        <v>54</v>
      </c>
      <c r="B2" t="s">
        <v>189</v>
      </c>
      <c r="C2" t="s">
        <v>14</v>
      </c>
      <c r="F2" t="s">
        <v>79</v>
      </c>
      <c r="G2" t="s">
        <v>54</v>
      </c>
    </row>
    <row r="3" spans="1:7" x14ac:dyDescent="0.2">
      <c r="A3" t="s">
        <v>51</v>
      </c>
      <c r="B3" t="s">
        <v>190</v>
      </c>
      <c r="C3" t="s">
        <v>14</v>
      </c>
      <c r="F3" t="s">
        <v>79</v>
      </c>
      <c r="G3" t="s">
        <v>51</v>
      </c>
    </row>
    <row r="4" spans="1:7" x14ac:dyDescent="0.2">
      <c r="A4" t="s">
        <v>171</v>
      </c>
      <c r="B4" t="s">
        <v>191</v>
      </c>
      <c r="C4" t="s">
        <v>14</v>
      </c>
      <c r="F4" t="s">
        <v>80</v>
      </c>
      <c r="G4" t="s">
        <v>168</v>
      </c>
    </row>
    <row r="5" spans="1:7" x14ac:dyDescent="0.2">
      <c r="A5" t="s">
        <v>23</v>
      </c>
      <c r="B5" t="s">
        <v>192</v>
      </c>
      <c r="C5" t="s">
        <v>14</v>
      </c>
      <c r="F5" t="s">
        <v>79</v>
      </c>
      <c r="G5" t="s">
        <v>23</v>
      </c>
    </row>
    <row r="6" spans="1:7" x14ac:dyDescent="0.2">
      <c r="A6" t="s">
        <v>64</v>
      </c>
      <c r="B6" t="s">
        <v>193</v>
      </c>
      <c r="C6" t="s">
        <v>14</v>
      </c>
      <c r="F6" t="s">
        <v>79</v>
      </c>
      <c r="G6" t="s">
        <v>64</v>
      </c>
    </row>
    <row r="7" spans="1:7" x14ac:dyDescent="0.2">
      <c r="A7" t="s">
        <v>57</v>
      </c>
      <c r="B7" t="s">
        <v>194</v>
      </c>
      <c r="C7" t="s">
        <v>14</v>
      </c>
      <c r="F7" t="s">
        <v>79</v>
      </c>
      <c r="G7" t="s">
        <v>57</v>
      </c>
    </row>
    <row r="8" spans="1:7" x14ac:dyDescent="0.2">
      <c r="A8" t="s">
        <v>600</v>
      </c>
      <c r="B8" t="s">
        <v>599</v>
      </c>
      <c r="C8" t="s">
        <v>14</v>
      </c>
      <c r="F8" t="s">
        <v>79</v>
      </c>
    </row>
    <row r="9" spans="1:7" x14ac:dyDescent="0.2">
      <c r="A9" t="s">
        <v>20</v>
      </c>
      <c r="B9" t="s">
        <v>195</v>
      </c>
      <c r="C9" t="s">
        <v>14</v>
      </c>
      <c r="F9" t="s">
        <v>79</v>
      </c>
      <c r="G9" t="s">
        <v>20</v>
      </c>
    </row>
    <row r="10" spans="1:7" x14ac:dyDescent="0.2">
      <c r="A10" t="s">
        <v>46</v>
      </c>
      <c r="B10" t="s">
        <v>196</v>
      </c>
      <c r="C10" t="s">
        <v>14</v>
      </c>
      <c r="F10" t="s">
        <v>79</v>
      </c>
      <c r="G10" t="s">
        <v>46</v>
      </c>
    </row>
    <row r="11" spans="1:7" x14ac:dyDescent="0.2">
      <c r="A11" t="s">
        <v>27</v>
      </c>
      <c r="B11" t="s">
        <v>197</v>
      </c>
      <c r="C11" t="s">
        <v>14</v>
      </c>
      <c r="F11" t="s">
        <v>80</v>
      </c>
      <c r="G11" t="s">
        <v>27</v>
      </c>
    </row>
    <row r="12" spans="1:7" x14ac:dyDescent="0.2">
      <c r="A12" t="s">
        <v>43</v>
      </c>
      <c r="B12" t="s">
        <v>198</v>
      </c>
      <c r="C12" t="s">
        <v>14</v>
      </c>
      <c r="F12" t="s">
        <v>79</v>
      </c>
      <c r="G12" t="s">
        <v>43</v>
      </c>
    </row>
    <row r="13" spans="1:7" x14ac:dyDescent="0.2">
      <c r="A13" t="s">
        <v>59</v>
      </c>
      <c r="B13" t="s">
        <v>199</v>
      </c>
      <c r="C13" t="s">
        <v>14</v>
      </c>
      <c r="F13" t="s">
        <v>79</v>
      </c>
      <c r="G13" t="s">
        <v>59</v>
      </c>
    </row>
    <row r="14" spans="1:7" x14ac:dyDescent="0.2">
      <c r="A14" t="s">
        <v>167</v>
      </c>
      <c r="B14" t="s">
        <v>200</v>
      </c>
      <c r="C14" t="s">
        <v>14</v>
      </c>
      <c r="F14" t="s">
        <v>80</v>
      </c>
      <c r="G14" t="s">
        <v>168</v>
      </c>
    </row>
    <row r="15" spans="1:7" x14ac:dyDescent="0.2">
      <c r="A15" t="s">
        <v>601</v>
      </c>
      <c r="B15" t="s">
        <v>602</v>
      </c>
      <c r="C15" t="s">
        <v>14</v>
      </c>
      <c r="F15" t="s">
        <v>80</v>
      </c>
      <c r="G15" t="s">
        <v>601</v>
      </c>
    </row>
    <row r="16" spans="1:7" x14ac:dyDescent="0.2">
      <c r="A16" t="s">
        <v>176</v>
      </c>
      <c r="B16" t="s">
        <v>201</v>
      </c>
      <c r="C16" t="s">
        <v>14</v>
      </c>
      <c r="F16" t="s">
        <v>80</v>
      </c>
      <c r="G16" t="s">
        <v>176</v>
      </c>
    </row>
    <row r="17" spans="1:7" x14ac:dyDescent="0.2">
      <c r="A17" t="s">
        <v>26</v>
      </c>
      <c r="B17" t="s">
        <v>202</v>
      </c>
      <c r="C17" t="s">
        <v>14</v>
      </c>
      <c r="F17" t="s">
        <v>79</v>
      </c>
      <c r="G17" t="s">
        <v>26</v>
      </c>
    </row>
    <row r="18" spans="1:7" x14ac:dyDescent="0.2">
      <c r="A18" t="s">
        <v>203</v>
      </c>
      <c r="B18" t="s">
        <v>204</v>
      </c>
      <c r="C18" t="s">
        <v>14</v>
      </c>
      <c r="F18" t="s">
        <v>79</v>
      </c>
      <c r="G18" t="s">
        <v>168</v>
      </c>
    </row>
    <row r="19" spans="1:7" x14ac:dyDescent="0.2">
      <c r="A19" t="s">
        <v>185</v>
      </c>
      <c r="B19" t="s">
        <v>42</v>
      </c>
      <c r="C19" t="s">
        <v>14</v>
      </c>
      <c r="F19" t="s">
        <v>80</v>
      </c>
      <c r="G19" t="s">
        <v>185</v>
      </c>
    </row>
    <row r="20" spans="1:7" x14ac:dyDescent="0.2">
      <c r="A20" t="s">
        <v>32</v>
      </c>
      <c r="B20" t="s">
        <v>205</v>
      </c>
      <c r="C20" t="s">
        <v>14</v>
      </c>
      <c r="F20" t="s">
        <v>79</v>
      </c>
      <c r="G20" t="s">
        <v>32</v>
      </c>
    </row>
    <row r="21" spans="1:7" x14ac:dyDescent="0.2">
      <c r="A21" t="s">
        <v>206</v>
      </c>
      <c r="B21" t="s">
        <v>207</v>
      </c>
      <c r="C21" t="s">
        <v>14</v>
      </c>
      <c r="F21" t="s">
        <v>79</v>
      </c>
      <c r="G21" t="s">
        <v>49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U34"/>
  <sheetViews>
    <sheetView workbookViewId="0">
      <selection activeCell="A31" sqref="A31:XFD34"/>
    </sheetView>
  </sheetViews>
  <sheetFormatPr defaultRowHeight="12.75" x14ac:dyDescent="0.2"/>
  <cols>
    <col min="1" max="1" width="11.140625" bestFit="1" customWidth="1"/>
    <col min="2" max="2" width="16.42578125" bestFit="1" customWidth="1"/>
    <col min="3" max="3" width="12.7109375" bestFit="1" customWidth="1"/>
    <col min="4" max="4" width="14.28515625" bestFit="1" customWidth="1"/>
    <col min="5" max="5" width="12.42578125" bestFit="1" customWidth="1"/>
    <col min="6" max="6" width="20.140625" bestFit="1" customWidth="1"/>
    <col min="7" max="7" width="15" bestFit="1" customWidth="1"/>
    <col min="8" max="8" width="18.7109375" bestFit="1" customWidth="1"/>
    <col min="9" max="9" width="16.7109375" bestFit="1" customWidth="1"/>
    <col min="10" max="10" width="11.42578125" bestFit="1" customWidth="1"/>
    <col min="11" max="11" width="15.85546875" bestFit="1" customWidth="1"/>
    <col min="12" max="12" width="14" bestFit="1" customWidth="1"/>
    <col min="13" max="13" width="14.85546875" bestFit="1" customWidth="1"/>
    <col min="14" max="14" width="15.5703125" bestFit="1" customWidth="1"/>
    <col min="15" max="15" width="11.28515625" bestFit="1" customWidth="1"/>
    <col min="16" max="16" width="14.140625" bestFit="1" customWidth="1"/>
    <col min="17" max="17" width="13.5703125" bestFit="1" customWidth="1"/>
    <col min="18" max="18" width="14.140625" bestFit="1" customWidth="1"/>
    <col min="19" max="19" width="13.85546875" bestFit="1" customWidth="1"/>
    <col min="20" max="20" width="14" bestFit="1" customWidth="1"/>
    <col min="21" max="21" width="14.85546875" bestFit="1" customWidth="1"/>
    <col min="22" max="22" width="14" bestFit="1" customWidth="1"/>
    <col min="23" max="23" width="14.85546875" bestFit="1" customWidth="1"/>
    <col min="24" max="24" width="7.85546875" bestFit="1" customWidth="1"/>
    <col min="25" max="25" width="8.7109375" bestFit="1" customWidth="1"/>
    <col min="26" max="26" width="6.85546875" bestFit="1" customWidth="1"/>
    <col min="27" max="27" width="13.5703125" bestFit="1" customWidth="1"/>
    <col min="28" max="28" width="14.140625" bestFit="1" customWidth="1"/>
    <col min="29" max="29" width="13.85546875" bestFit="1" customWidth="1"/>
    <col min="30" max="30" width="6.5703125" bestFit="1" customWidth="1"/>
    <col min="31" max="31" width="7.28515625" bestFit="1" customWidth="1"/>
    <col min="32" max="32" width="8.140625" bestFit="1" customWidth="1"/>
    <col min="33" max="33" width="7.140625" bestFit="1" customWidth="1"/>
    <col min="34" max="34" width="7.85546875" bestFit="1" customWidth="1"/>
    <col min="35" max="35" width="8.7109375" bestFit="1" customWidth="1"/>
    <col min="36" max="36" width="6.85546875" bestFit="1" customWidth="1"/>
    <col min="37" max="37" width="7.5703125" bestFit="1" customWidth="1"/>
    <col min="38" max="38" width="8.42578125" bestFit="1" customWidth="1"/>
  </cols>
  <sheetData>
    <row r="1" spans="1:47" x14ac:dyDescent="0.2">
      <c r="A1" s="11" t="s">
        <v>10</v>
      </c>
      <c r="B1" s="11" t="s">
        <v>11</v>
      </c>
      <c r="C1" s="11" t="s">
        <v>12</v>
      </c>
      <c r="D1" s="11" t="s">
        <v>13</v>
      </c>
      <c r="E1" s="11" t="s">
        <v>14</v>
      </c>
      <c r="F1" s="11" t="s">
        <v>15</v>
      </c>
      <c r="G1" s="11" t="s">
        <v>16</v>
      </c>
    </row>
    <row r="2" spans="1:47" x14ac:dyDescent="0.2">
      <c r="A2" s="7" t="s">
        <v>68</v>
      </c>
      <c r="B2" s="7" t="s">
        <v>69</v>
      </c>
      <c r="C2" s="7" t="s">
        <v>70</v>
      </c>
      <c r="D2" s="8" t="s">
        <v>3</v>
      </c>
      <c r="E2" s="8" t="s">
        <v>4</v>
      </c>
      <c r="F2" s="8" t="s">
        <v>5</v>
      </c>
      <c r="G2" s="8" t="s">
        <v>6</v>
      </c>
      <c r="H2" s="8" t="s">
        <v>82</v>
      </c>
    </row>
    <row r="3" spans="1:47" x14ac:dyDescent="0.2">
      <c r="A3" t="s">
        <v>9</v>
      </c>
      <c r="B3" t="s">
        <v>10</v>
      </c>
      <c r="C3" t="s">
        <v>11</v>
      </c>
      <c r="D3" t="s">
        <v>71</v>
      </c>
      <c r="E3" t="s">
        <v>596</v>
      </c>
      <c r="F3" t="s">
        <v>12</v>
      </c>
      <c r="G3" t="s">
        <v>13</v>
      </c>
      <c r="H3" t="s">
        <v>14</v>
      </c>
      <c r="I3" t="s">
        <v>16</v>
      </c>
      <c r="J3" t="s">
        <v>15</v>
      </c>
      <c r="K3" t="s">
        <v>447</v>
      </c>
      <c r="L3" t="s">
        <v>625</v>
      </c>
      <c r="M3" t="s">
        <v>626</v>
      </c>
    </row>
    <row r="4" spans="1:47" x14ac:dyDescent="0.2">
      <c r="A4" s="7" t="s">
        <v>69</v>
      </c>
      <c r="B4" s="7" t="s">
        <v>70</v>
      </c>
      <c r="C4" s="8" t="s">
        <v>3</v>
      </c>
      <c r="D4" s="8" t="s">
        <v>4</v>
      </c>
      <c r="E4" s="8" t="s">
        <v>5</v>
      </c>
      <c r="F4" s="8" t="s">
        <v>6</v>
      </c>
      <c r="G4" s="8"/>
      <c r="H4" s="8"/>
    </row>
    <row r="5" spans="1:47" x14ac:dyDescent="0.2">
      <c r="A5" t="s">
        <v>10</v>
      </c>
      <c r="B5" t="s">
        <v>11</v>
      </c>
      <c r="C5" t="s">
        <v>71</v>
      </c>
      <c r="D5" t="s">
        <v>596</v>
      </c>
      <c r="E5" t="s">
        <v>12</v>
      </c>
      <c r="F5" t="s">
        <v>13</v>
      </c>
      <c r="G5" t="s">
        <v>14</v>
      </c>
      <c r="H5" t="s">
        <v>16</v>
      </c>
      <c r="I5" t="s">
        <v>15</v>
      </c>
    </row>
    <row r="6" spans="1:47" x14ac:dyDescent="0.2">
      <c r="A6" s="8" t="s">
        <v>82</v>
      </c>
      <c r="B6" s="8"/>
    </row>
    <row r="7" spans="1:47" x14ac:dyDescent="0.2">
      <c r="A7" t="s">
        <v>9</v>
      </c>
      <c r="B7" t="s">
        <v>10</v>
      </c>
      <c r="C7" t="s">
        <v>13</v>
      </c>
      <c r="D7" t="s">
        <v>14</v>
      </c>
      <c r="E7" t="s">
        <v>85</v>
      </c>
      <c r="F7" t="s">
        <v>86</v>
      </c>
      <c r="G7" t="s">
        <v>87</v>
      </c>
      <c r="H7" t="s">
        <v>88</v>
      </c>
      <c r="I7" t="s">
        <v>89</v>
      </c>
      <c r="J7" t="s">
        <v>90</v>
      </c>
      <c r="K7" t="s">
        <v>91</v>
      </c>
      <c r="L7" t="s">
        <v>92</v>
      </c>
      <c r="M7" t="s">
        <v>93</v>
      </c>
      <c r="N7" t="s">
        <v>94</v>
      </c>
      <c r="O7" t="s">
        <v>95</v>
      </c>
      <c r="P7" t="s">
        <v>96</v>
      </c>
      <c r="Q7" t="s">
        <v>97</v>
      </c>
      <c r="R7" t="s">
        <v>98</v>
      </c>
      <c r="S7" t="s">
        <v>99</v>
      </c>
      <c r="T7" t="s">
        <v>100</v>
      </c>
      <c r="U7" t="s">
        <v>101</v>
      </c>
      <c r="V7" t="s">
        <v>102</v>
      </c>
      <c r="W7" t="s">
        <v>103</v>
      </c>
      <c r="X7" t="s">
        <v>104</v>
      </c>
      <c r="Y7" t="s">
        <v>105</v>
      </c>
      <c r="Z7" t="s">
        <v>106</v>
      </c>
      <c r="AA7" t="s">
        <v>107</v>
      </c>
      <c r="AB7" t="s">
        <v>108</v>
      </c>
      <c r="AC7" t="s">
        <v>109</v>
      </c>
      <c r="AD7" t="s">
        <v>110</v>
      </c>
      <c r="AE7" t="s">
        <v>111</v>
      </c>
      <c r="AF7" t="s">
        <v>112</v>
      </c>
      <c r="AG7" t="s">
        <v>113</v>
      </c>
      <c r="AH7" t="s">
        <v>114</v>
      </c>
      <c r="AI7" t="s">
        <v>115</v>
      </c>
      <c r="AJ7" t="s">
        <v>116</v>
      </c>
      <c r="AK7" t="s">
        <v>117</v>
      </c>
      <c r="AL7" t="s">
        <v>118</v>
      </c>
      <c r="AM7" t="s">
        <v>423</v>
      </c>
      <c r="AN7" t="s">
        <v>424</v>
      </c>
      <c r="AO7" t="s">
        <v>425</v>
      </c>
      <c r="AP7" t="s">
        <v>426</v>
      </c>
      <c r="AQ7" t="s">
        <v>427</v>
      </c>
      <c r="AR7" t="s">
        <v>428</v>
      </c>
      <c r="AS7" t="s">
        <v>429</v>
      </c>
      <c r="AT7" t="s">
        <v>430</v>
      </c>
      <c r="AU7" t="s">
        <v>431</v>
      </c>
    </row>
    <row r="8" spans="1:47" x14ac:dyDescent="0.2">
      <c r="A8" t="s">
        <v>9</v>
      </c>
      <c r="B8" t="s">
        <v>10</v>
      </c>
      <c r="C8" t="s">
        <v>14</v>
      </c>
      <c r="D8" t="s">
        <v>13</v>
      </c>
      <c r="E8" t="s">
        <v>87</v>
      </c>
      <c r="F8" t="s">
        <v>85</v>
      </c>
      <c r="G8" t="s">
        <v>86</v>
      </c>
      <c r="H8" t="s">
        <v>89</v>
      </c>
      <c r="I8" t="s">
        <v>423</v>
      </c>
      <c r="J8" t="s">
        <v>424</v>
      </c>
      <c r="K8" t="s">
        <v>425</v>
      </c>
      <c r="L8" t="s">
        <v>426</v>
      </c>
      <c r="M8" t="s">
        <v>427</v>
      </c>
      <c r="N8" t="s">
        <v>428</v>
      </c>
      <c r="O8" t="s">
        <v>429</v>
      </c>
      <c r="P8" t="s">
        <v>430</v>
      </c>
      <c r="Q8" t="s">
        <v>431</v>
      </c>
      <c r="R8" t="s">
        <v>94</v>
      </c>
      <c r="S8" t="s">
        <v>95</v>
      </c>
      <c r="T8" t="s">
        <v>96</v>
      </c>
      <c r="U8" t="s">
        <v>100</v>
      </c>
      <c r="V8" t="s">
        <v>104</v>
      </c>
      <c r="W8" t="s">
        <v>107</v>
      </c>
      <c r="X8" t="s">
        <v>105</v>
      </c>
      <c r="Y8" t="s">
        <v>108</v>
      </c>
      <c r="Z8" t="s">
        <v>106</v>
      </c>
      <c r="AA8" t="s">
        <v>109</v>
      </c>
      <c r="AB8" t="s">
        <v>101</v>
      </c>
      <c r="AC8" t="s">
        <v>102</v>
      </c>
      <c r="AD8" t="s">
        <v>103</v>
      </c>
    </row>
    <row r="9" spans="1:47" x14ac:dyDescent="0.2">
      <c r="A9" t="s">
        <v>9</v>
      </c>
      <c r="B9" t="s">
        <v>10</v>
      </c>
      <c r="C9" t="s">
        <v>13</v>
      </c>
      <c r="D9" t="s">
        <v>14</v>
      </c>
      <c r="E9" t="s">
        <v>85</v>
      </c>
      <c r="F9" t="s">
        <v>86</v>
      </c>
      <c r="G9" t="s">
        <v>87</v>
      </c>
      <c r="H9" t="s">
        <v>88</v>
      </c>
      <c r="I9" t="s">
        <v>89</v>
      </c>
      <c r="J9" t="s">
        <v>90</v>
      </c>
      <c r="K9" t="s">
        <v>91</v>
      </c>
      <c r="L9" t="s">
        <v>92</v>
      </c>
      <c r="M9" t="s">
        <v>93</v>
      </c>
      <c r="N9" t="s">
        <v>94</v>
      </c>
      <c r="O9" t="s">
        <v>95</v>
      </c>
      <c r="P9" t="s">
        <v>96</v>
      </c>
      <c r="Q9" t="s">
        <v>97</v>
      </c>
      <c r="R9" t="s">
        <v>98</v>
      </c>
      <c r="S9" t="s">
        <v>99</v>
      </c>
      <c r="T9" t="s">
        <v>100</v>
      </c>
      <c r="U9" t="s">
        <v>101</v>
      </c>
      <c r="V9" t="s">
        <v>102</v>
      </c>
      <c r="W9" t="s">
        <v>103</v>
      </c>
      <c r="X9" t="s">
        <v>104</v>
      </c>
      <c r="Y9" t="s">
        <v>105</v>
      </c>
      <c r="Z9" t="s">
        <v>106</v>
      </c>
      <c r="AA9" t="s">
        <v>107</v>
      </c>
      <c r="AB9" t="s">
        <v>108</v>
      </c>
      <c r="AC9" t="s">
        <v>109</v>
      </c>
      <c r="AD9" t="s">
        <v>110</v>
      </c>
      <c r="AE9" t="s">
        <v>111</v>
      </c>
      <c r="AF9" t="s">
        <v>112</v>
      </c>
      <c r="AG9" t="s">
        <v>113</v>
      </c>
      <c r="AH9" t="s">
        <v>114</v>
      </c>
      <c r="AI9" t="s">
        <v>115</v>
      </c>
      <c r="AJ9" t="s">
        <v>116</v>
      </c>
      <c r="AK9" t="s">
        <v>117</v>
      </c>
      <c r="AL9" t="s">
        <v>118</v>
      </c>
    </row>
    <row r="10" spans="1:47" x14ac:dyDescent="0.2">
      <c r="A10" t="s">
        <v>91</v>
      </c>
      <c r="B10" t="s">
        <v>92</v>
      </c>
      <c r="C10" t="s">
        <v>93</v>
      </c>
      <c r="D10" t="s">
        <v>94</v>
      </c>
      <c r="E10" t="s">
        <v>95</v>
      </c>
      <c r="F10" t="s">
        <v>96</v>
      </c>
      <c r="G10" t="s">
        <v>97</v>
      </c>
      <c r="H10" t="s">
        <v>98</v>
      </c>
      <c r="I10" t="s">
        <v>99</v>
      </c>
      <c r="J10" t="s">
        <v>100</v>
      </c>
      <c r="K10" t="s">
        <v>101</v>
      </c>
      <c r="L10" t="s">
        <v>102</v>
      </c>
      <c r="M10" t="s">
        <v>103</v>
      </c>
      <c r="N10" t="s">
        <v>104</v>
      </c>
      <c r="O10" t="s">
        <v>105</v>
      </c>
      <c r="P10" t="s">
        <v>106</v>
      </c>
      <c r="Q10" t="s">
        <v>107</v>
      </c>
      <c r="R10" t="s">
        <v>108</v>
      </c>
      <c r="S10" t="s">
        <v>109</v>
      </c>
      <c r="T10" t="s">
        <v>110</v>
      </c>
      <c r="U10" t="s">
        <v>111</v>
      </c>
      <c r="V10" t="s">
        <v>112</v>
      </c>
      <c r="W10" t="s">
        <v>113</v>
      </c>
      <c r="X10" t="s">
        <v>114</v>
      </c>
      <c r="Y10" t="s">
        <v>115</v>
      </c>
      <c r="Z10" t="s">
        <v>116</v>
      </c>
      <c r="AA10" t="s">
        <v>117</v>
      </c>
      <c r="AB10" t="s">
        <v>118</v>
      </c>
      <c r="AC10" t="s">
        <v>423</v>
      </c>
      <c r="AD10" t="s">
        <v>424</v>
      </c>
      <c r="AE10" t="s">
        <v>425</v>
      </c>
      <c r="AF10" t="s">
        <v>426</v>
      </c>
      <c r="AG10" t="s">
        <v>427</v>
      </c>
      <c r="AH10" t="s">
        <v>428</v>
      </c>
      <c r="AI10" t="s">
        <v>429</v>
      </c>
      <c r="AJ10" t="s">
        <v>430</v>
      </c>
      <c r="AK10" t="s">
        <v>431</v>
      </c>
    </row>
    <row r="11" spans="1:47" x14ac:dyDescent="0.2">
      <c r="A11" t="s">
        <v>9</v>
      </c>
      <c r="B11" t="s">
        <v>10</v>
      </c>
      <c r="C11" t="s">
        <v>13</v>
      </c>
      <c r="D11" t="s">
        <v>14</v>
      </c>
      <c r="E11" t="s">
        <v>85</v>
      </c>
      <c r="F11" t="s">
        <v>86</v>
      </c>
      <c r="G11" t="s">
        <v>87</v>
      </c>
      <c r="H11" t="s">
        <v>88</v>
      </c>
      <c r="I11" t="s">
        <v>89</v>
      </c>
      <c r="J11" t="s">
        <v>90</v>
      </c>
    </row>
    <row r="12" spans="1:47" x14ac:dyDescent="0.2">
      <c r="A12" t="s">
        <v>262</v>
      </c>
      <c r="B12" t="s">
        <v>261</v>
      </c>
      <c r="C12" t="s">
        <v>259</v>
      </c>
      <c r="D12" t="s">
        <v>260</v>
      </c>
      <c r="E12" t="s">
        <v>438</v>
      </c>
      <c r="F12" t="s">
        <v>210</v>
      </c>
      <c r="G12" t="s">
        <v>212</v>
      </c>
      <c r="H12" t="s">
        <v>214</v>
      </c>
      <c r="I12" t="s">
        <v>216</v>
      </c>
      <c r="J12" t="s">
        <v>218</v>
      </c>
      <c r="K12" t="s">
        <v>220</v>
      </c>
      <c r="L12" t="s">
        <v>222</v>
      </c>
      <c r="M12" t="s">
        <v>224</v>
      </c>
      <c r="N12" t="s">
        <v>228</v>
      </c>
      <c r="O12" t="s">
        <v>231</v>
      </c>
      <c r="P12" t="s">
        <v>233</v>
      </c>
      <c r="Q12" t="s">
        <v>235</v>
      </c>
      <c r="R12" t="s">
        <v>237</v>
      </c>
      <c r="S12" t="s">
        <v>240</v>
      </c>
      <c r="T12" t="s">
        <v>242</v>
      </c>
      <c r="U12" t="s">
        <v>244</v>
      </c>
      <c r="V12" t="s">
        <v>246</v>
      </c>
      <c r="W12" t="s">
        <v>248</v>
      </c>
      <c r="X12" t="s">
        <v>252</v>
      </c>
      <c r="Y12" t="s">
        <v>254</v>
      </c>
      <c r="Z12" t="s">
        <v>250</v>
      </c>
      <c r="AA12" t="s">
        <v>257</v>
      </c>
      <c r="AB12" t="s">
        <v>258</v>
      </c>
      <c r="AC12" t="s">
        <v>432</v>
      </c>
      <c r="AD12" t="s">
        <v>85</v>
      </c>
      <c r="AE12" t="s">
        <v>86</v>
      </c>
      <c r="AF12" t="s">
        <v>422</v>
      </c>
    </row>
    <row r="13" spans="1:47" x14ac:dyDescent="0.2">
      <c r="A13" s="113" t="s">
        <v>355</v>
      </c>
      <c r="B13" s="112" t="s">
        <v>356</v>
      </c>
      <c r="C13" s="113" t="s">
        <v>259</v>
      </c>
      <c r="D13" s="113" t="s">
        <v>365</v>
      </c>
      <c r="E13" s="113" t="s">
        <v>10</v>
      </c>
      <c r="F13" s="113" t="s">
        <v>333</v>
      </c>
      <c r="G13" s="113" t="s">
        <v>334</v>
      </c>
      <c r="H13" s="113" t="s">
        <v>371</v>
      </c>
      <c r="I13" s="113" t="s">
        <v>372</v>
      </c>
      <c r="J13" s="113" t="s">
        <v>373</v>
      </c>
      <c r="K13" t="s">
        <v>374</v>
      </c>
      <c r="L13" t="s">
        <v>375</v>
      </c>
      <c r="M13" s="113" t="s">
        <v>377</v>
      </c>
      <c r="N13" t="s">
        <v>387</v>
      </c>
      <c r="O13" t="s">
        <v>388</v>
      </c>
      <c r="P13" t="s">
        <v>389</v>
      </c>
      <c r="Q13" t="s">
        <v>390</v>
      </c>
      <c r="R13" t="s">
        <v>443</v>
      </c>
    </row>
    <row r="14" spans="1:47" x14ac:dyDescent="0.2">
      <c r="A14" s="112" t="s">
        <v>355</v>
      </c>
      <c r="B14" s="112" t="s">
        <v>356</v>
      </c>
      <c r="C14" s="113" t="s">
        <v>259</v>
      </c>
      <c r="D14" s="113" t="s">
        <v>365</v>
      </c>
      <c r="E14" s="113" t="s">
        <v>10</v>
      </c>
      <c r="F14" s="113" t="s">
        <v>333</v>
      </c>
      <c r="G14" s="112" t="s">
        <v>366</v>
      </c>
      <c r="H14" s="113" t="s">
        <v>367</v>
      </c>
      <c r="I14" s="324" t="s">
        <v>85</v>
      </c>
      <c r="J14" s="298" t="s">
        <v>86</v>
      </c>
      <c r="K14" s="113"/>
      <c r="L14" s="113"/>
      <c r="M14" s="113"/>
      <c r="N14" s="113"/>
    </row>
    <row r="15" spans="1:47" x14ac:dyDescent="0.2">
      <c r="A15" s="112" t="s">
        <v>355</v>
      </c>
      <c r="B15" s="112" t="s">
        <v>356</v>
      </c>
      <c r="C15" s="113" t="s">
        <v>259</v>
      </c>
      <c r="D15" s="113" t="s">
        <v>365</v>
      </c>
      <c r="E15" s="113" t="s">
        <v>10</v>
      </c>
      <c r="F15" s="113" t="s">
        <v>333</v>
      </c>
      <c r="G15" s="113" t="s">
        <v>334</v>
      </c>
      <c r="H15" s="113" t="s">
        <v>371</v>
      </c>
      <c r="I15" s="113" t="s">
        <v>372</v>
      </c>
      <c r="J15" s="113" t="s">
        <v>373</v>
      </c>
      <c r="K15" s="113" t="s">
        <v>374</v>
      </c>
      <c r="L15" s="113" t="s">
        <v>375</v>
      </c>
      <c r="M15" s="113" t="s">
        <v>376</v>
      </c>
      <c r="N15" s="113" t="s">
        <v>377</v>
      </c>
      <c r="O15" s="112"/>
      <c r="P15" s="113"/>
    </row>
    <row r="16" spans="1:47" x14ac:dyDescent="0.2">
      <c r="A16" t="s">
        <v>355</v>
      </c>
      <c r="B16" t="s">
        <v>356</v>
      </c>
      <c r="C16" t="s">
        <v>259</v>
      </c>
      <c r="D16" t="s">
        <v>333</v>
      </c>
      <c r="E16" s="113" t="s">
        <v>334</v>
      </c>
      <c r="F16" t="s">
        <v>371</v>
      </c>
      <c r="G16" t="s">
        <v>372</v>
      </c>
      <c r="H16" t="s">
        <v>377</v>
      </c>
      <c r="I16" t="s">
        <v>390</v>
      </c>
      <c r="J16" t="s">
        <v>10</v>
      </c>
      <c r="K16" s="324" t="s">
        <v>85</v>
      </c>
      <c r="L16" s="298" t="s">
        <v>86</v>
      </c>
    </row>
    <row r="17" spans="1:32" x14ac:dyDescent="0.2">
      <c r="A17" t="s">
        <v>355</v>
      </c>
      <c r="B17" t="s">
        <v>356</v>
      </c>
      <c r="C17" t="s">
        <v>259</v>
      </c>
      <c r="D17" t="s">
        <v>333</v>
      </c>
      <c r="E17" t="s">
        <v>334</v>
      </c>
      <c r="F17" t="s">
        <v>333</v>
      </c>
      <c r="G17" t="s">
        <v>377</v>
      </c>
    </row>
    <row r="18" spans="1:32" x14ac:dyDescent="0.2">
      <c r="A18" s="112" t="s">
        <v>355</v>
      </c>
      <c r="B18" s="112" t="s">
        <v>356</v>
      </c>
      <c r="C18" s="113" t="s">
        <v>259</v>
      </c>
      <c r="D18" s="113" t="s">
        <v>365</v>
      </c>
      <c r="E18" s="113" t="s">
        <v>10</v>
      </c>
      <c r="F18" s="113" t="s">
        <v>333</v>
      </c>
      <c r="G18" s="113" t="s">
        <v>334</v>
      </c>
      <c r="H18" s="113" t="s">
        <v>371</v>
      </c>
      <c r="I18" s="113" t="s">
        <v>372</v>
      </c>
      <c r="J18" s="113" t="s">
        <v>373</v>
      </c>
      <c r="K18" s="113" t="s">
        <v>374</v>
      </c>
      <c r="L18" s="113" t="s">
        <v>375</v>
      </c>
      <c r="M18" s="113" t="s">
        <v>376</v>
      </c>
      <c r="N18" s="113" t="s">
        <v>377</v>
      </c>
      <c r="O18" s="112"/>
      <c r="P18" s="113"/>
    </row>
    <row r="19" spans="1:32" x14ac:dyDescent="0.2">
      <c r="A19" s="112" t="s">
        <v>355</v>
      </c>
      <c r="B19" s="112" t="s">
        <v>356</v>
      </c>
      <c r="C19" s="113" t="s">
        <v>259</v>
      </c>
      <c r="D19" s="113" t="s">
        <v>365</v>
      </c>
      <c r="E19" s="113" t="s">
        <v>10</v>
      </c>
      <c r="F19" s="324" t="s">
        <v>85</v>
      </c>
      <c r="G19" s="298" t="s">
        <v>86</v>
      </c>
    </row>
    <row r="20" spans="1:32" x14ac:dyDescent="0.2">
      <c r="A20" s="113" t="s">
        <v>334</v>
      </c>
      <c r="B20" t="s">
        <v>371</v>
      </c>
    </row>
    <row r="21" spans="1:32" x14ac:dyDescent="0.2">
      <c r="A21" s="113" t="s">
        <v>372</v>
      </c>
      <c r="B21" s="113" t="s">
        <v>373</v>
      </c>
      <c r="C21" s="113" t="s">
        <v>374</v>
      </c>
      <c r="D21" s="113" t="s">
        <v>375</v>
      </c>
    </row>
    <row r="22" spans="1:32" x14ac:dyDescent="0.2">
      <c r="A22" s="113" t="s">
        <v>377</v>
      </c>
    </row>
    <row r="23" spans="1:32" x14ac:dyDescent="0.2">
      <c r="A23" t="s">
        <v>387</v>
      </c>
      <c r="B23" t="s">
        <v>10</v>
      </c>
      <c r="C23" t="s">
        <v>388</v>
      </c>
      <c r="D23" t="s">
        <v>389</v>
      </c>
      <c r="E23" t="s">
        <v>390</v>
      </c>
      <c r="F23" t="s">
        <v>391</v>
      </c>
      <c r="G23" t="s">
        <v>443</v>
      </c>
      <c r="H23" s="324" t="s">
        <v>85</v>
      </c>
      <c r="I23" s="298" t="s">
        <v>86</v>
      </c>
    </row>
    <row r="24" spans="1:32" x14ac:dyDescent="0.2">
      <c r="A24" t="s">
        <v>387</v>
      </c>
      <c r="B24" t="s">
        <v>388</v>
      </c>
      <c r="C24" t="s">
        <v>389</v>
      </c>
      <c r="D24" t="s">
        <v>390</v>
      </c>
      <c r="E24" t="s">
        <v>443</v>
      </c>
      <c r="F24" s="324" t="s">
        <v>85</v>
      </c>
      <c r="G24" s="298" t="s">
        <v>86</v>
      </c>
    </row>
    <row r="25" spans="1:32" x14ac:dyDescent="0.2">
      <c r="A25" t="s">
        <v>9</v>
      </c>
      <c r="B25" t="s">
        <v>10</v>
      </c>
      <c r="C25" t="s">
        <v>11</v>
      </c>
      <c r="D25" t="s">
        <v>71</v>
      </c>
      <c r="E25" t="s">
        <v>72</v>
      </c>
      <c r="F25" t="s">
        <v>12</v>
      </c>
      <c r="G25" t="s">
        <v>13</v>
      </c>
      <c r="H25" t="s">
        <v>14</v>
      </c>
      <c r="I25" t="s">
        <v>16</v>
      </c>
      <c r="J25" t="s">
        <v>15</v>
      </c>
    </row>
    <row r="26" spans="1:32" ht="15" x14ac:dyDescent="0.25">
      <c r="A26" s="189" t="s">
        <v>260</v>
      </c>
      <c r="B26" s="190" t="s">
        <v>210</v>
      </c>
      <c r="C26" s="190" t="s">
        <v>212</v>
      </c>
      <c r="D26" s="190" t="s">
        <v>214</v>
      </c>
      <c r="E26" s="190" t="s">
        <v>216</v>
      </c>
      <c r="F26" s="190" t="s">
        <v>218</v>
      </c>
      <c r="G26" s="190" t="s">
        <v>220</v>
      </c>
      <c r="H26" s="190" t="s">
        <v>222</v>
      </c>
      <c r="I26" s="190" t="s">
        <v>224</v>
      </c>
      <c r="J26" s="190" t="s">
        <v>228</v>
      </c>
      <c r="K26" s="190" t="s">
        <v>231</v>
      </c>
      <c r="L26" s="190" t="s">
        <v>233</v>
      </c>
      <c r="M26" s="190" t="s">
        <v>235</v>
      </c>
      <c r="N26" s="190" t="s">
        <v>237</v>
      </c>
      <c r="O26" s="190" t="s">
        <v>240</v>
      </c>
      <c r="P26" s="191" t="s">
        <v>242</v>
      </c>
      <c r="Q26" s="191" t="s">
        <v>244</v>
      </c>
      <c r="R26" s="191" t="s">
        <v>246</v>
      </c>
      <c r="S26" s="191" t="s">
        <v>248</v>
      </c>
      <c r="T26" s="190" t="s">
        <v>252</v>
      </c>
      <c r="U26" s="190" t="s">
        <v>254</v>
      </c>
      <c r="V26" s="190" t="s">
        <v>250</v>
      </c>
      <c r="W26" s="191" t="s">
        <v>257</v>
      </c>
      <c r="X26" s="192" t="s">
        <v>258</v>
      </c>
      <c r="Y26" s="191" t="s">
        <v>432</v>
      </c>
      <c r="Z26" s="192" t="s">
        <v>85</v>
      </c>
      <c r="AA26" s="191" t="s">
        <v>86</v>
      </c>
      <c r="AB26" s="191" t="s">
        <v>422</v>
      </c>
      <c r="AC26" s="191"/>
      <c r="AD26" s="191"/>
      <c r="AE26" s="191"/>
      <c r="AF26" s="191"/>
    </row>
    <row r="27" spans="1:32" x14ac:dyDescent="0.2">
      <c r="A27" t="s">
        <v>391</v>
      </c>
    </row>
    <row r="28" spans="1:32" x14ac:dyDescent="0.2">
      <c r="A28" s="298" t="s">
        <v>610</v>
      </c>
      <c r="B28" s="298" t="s">
        <v>10</v>
      </c>
      <c r="C28" s="299" t="s">
        <v>611</v>
      </c>
      <c r="D28" s="299" t="s">
        <v>612</v>
      </c>
      <c r="E28" s="298" t="s">
        <v>613</v>
      </c>
      <c r="F28" s="298" t="s">
        <v>614</v>
      </c>
      <c r="G28" s="298" t="s">
        <v>615</v>
      </c>
      <c r="H28" s="298" t="s">
        <v>616</v>
      </c>
      <c r="I28" s="324" t="s">
        <v>85</v>
      </c>
      <c r="J28" s="298" t="s">
        <v>86</v>
      </c>
      <c r="K28" s="298" t="s">
        <v>635</v>
      </c>
    </row>
    <row r="29" spans="1:32" x14ac:dyDescent="0.2">
      <c r="A29" s="298" t="s">
        <v>610</v>
      </c>
      <c r="B29" s="299" t="s">
        <v>611</v>
      </c>
      <c r="C29" s="299" t="s">
        <v>612</v>
      </c>
      <c r="D29" s="298" t="s">
        <v>613</v>
      </c>
      <c r="E29" s="298" t="s">
        <v>615</v>
      </c>
      <c r="F29" s="298" t="s">
        <v>614</v>
      </c>
      <c r="G29" s="298" t="s">
        <v>616</v>
      </c>
      <c r="H29" s="298" t="s">
        <v>10</v>
      </c>
      <c r="I29" s="324" t="s">
        <v>85</v>
      </c>
      <c r="J29" s="298" t="s">
        <v>86</v>
      </c>
      <c r="K29" s="298" t="s">
        <v>635</v>
      </c>
    </row>
    <row r="30" spans="1:32" x14ac:dyDescent="0.2">
      <c r="A30" t="s">
        <v>625</v>
      </c>
      <c r="B30" t="s">
        <v>626</v>
      </c>
    </row>
    <row r="31" spans="1:32" x14ac:dyDescent="0.2">
      <c r="A31" t="s">
        <v>10</v>
      </c>
      <c r="B31" t="s">
        <v>12</v>
      </c>
      <c r="C31" t="s">
        <v>447</v>
      </c>
      <c r="D31" t="s">
        <v>625</v>
      </c>
      <c r="E31" t="s">
        <v>626</v>
      </c>
    </row>
    <row r="32" spans="1:32" x14ac:dyDescent="0.2">
      <c r="A32" s="113" t="s">
        <v>10</v>
      </c>
      <c r="B32" t="s">
        <v>356</v>
      </c>
      <c r="C32" t="s">
        <v>259</v>
      </c>
      <c r="D32" t="s">
        <v>333</v>
      </c>
      <c r="E32" s="113" t="s">
        <v>334</v>
      </c>
      <c r="F32" s="113" t="s">
        <v>371</v>
      </c>
      <c r="G32" s="113" t="s">
        <v>372</v>
      </c>
      <c r="H32" s="113" t="s">
        <v>377</v>
      </c>
      <c r="I32" t="s">
        <v>390</v>
      </c>
    </row>
    <row r="33" spans="1:8" x14ac:dyDescent="0.2">
      <c r="A33" s="113" t="s">
        <v>10</v>
      </c>
      <c r="B33" s="299" t="s">
        <v>611</v>
      </c>
      <c r="C33" s="299" t="s">
        <v>612</v>
      </c>
      <c r="D33" s="298" t="s">
        <v>613</v>
      </c>
      <c r="E33" s="298" t="s">
        <v>615</v>
      </c>
      <c r="F33" s="298" t="s">
        <v>614</v>
      </c>
      <c r="G33" s="298" t="s">
        <v>616</v>
      </c>
      <c r="H33" t="s">
        <v>635</v>
      </c>
    </row>
    <row r="34" spans="1:8" x14ac:dyDescent="0.2">
      <c r="A34" s="113" t="s">
        <v>10</v>
      </c>
      <c r="B34" t="s">
        <v>388</v>
      </c>
      <c r="C34" t="s">
        <v>389</v>
      </c>
      <c r="D34" t="s">
        <v>390</v>
      </c>
      <c r="E34" t="s">
        <v>391</v>
      </c>
      <c r="F34" t="s">
        <v>443</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B306"/>
  <sheetViews>
    <sheetView showGridLines="0" workbookViewId="0">
      <selection activeCell="O15" sqref="O15"/>
    </sheetView>
  </sheetViews>
  <sheetFormatPr defaultRowHeight="12.75" x14ac:dyDescent="0.2"/>
  <cols>
    <col min="1" max="1" width="0.5703125" style="246" customWidth="1"/>
    <col min="2" max="2" width="17.42578125" style="246" bestFit="1" customWidth="1"/>
    <col min="3" max="3" width="0.7109375" style="10" customWidth="1"/>
    <col min="4" max="4" width="1.28515625" style="16" customWidth="1"/>
    <col min="5" max="5" width="25.7109375" style="10" bestFit="1" customWidth="1"/>
    <col min="6" max="6" width="54.7109375" style="17" bestFit="1" customWidth="1"/>
    <col min="7" max="7" width="17.5703125" style="17" customWidth="1"/>
    <col min="8" max="8" width="16" style="10" customWidth="1"/>
    <col min="9" max="9" width="17" style="10" customWidth="1"/>
    <col min="10" max="10" width="11.7109375" style="1" bestFit="1" customWidth="1"/>
    <col min="11" max="11" width="18.7109375" style="1" bestFit="1" customWidth="1"/>
    <col min="12" max="12" width="16" style="1" bestFit="1" customWidth="1"/>
    <col min="13" max="13" width="34.5703125" style="10" bestFit="1" customWidth="1"/>
    <col min="14" max="14" width="14" style="10" bestFit="1" customWidth="1"/>
    <col min="15" max="19" width="21.7109375" style="10" customWidth="1"/>
    <col min="20" max="20" width="4.85546875" style="1" bestFit="1" customWidth="1"/>
    <col min="21" max="21" width="26.5703125" style="12" customWidth="1"/>
    <col min="22" max="27" width="22" style="12" customWidth="1"/>
    <col min="28" max="28" width="58.5703125" style="12" customWidth="1"/>
    <col min="29" max="16384" width="9.140625" style="1"/>
  </cols>
  <sheetData>
    <row r="1" spans="1:19" s="127" customFormat="1" ht="36.75" customHeight="1" x14ac:dyDescent="0.2">
      <c r="A1" s="142"/>
      <c r="B1" s="142"/>
    </row>
    <row r="2" spans="1:19" x14ac:dyDescent="0.2">
      <c r="B2" s="248" t="s">
        <v>119</v>
      </c>
    </row>
    <row r="3" spans="1:19" x14ac:dyDescent="0.2">
      <c r="G3" s="31" t="s">
        <v>78</v>
      </c>
      <c r="H3" s="291"/>
      <c r="J3" s="31" t="s">
        <v>647</v>
      </c>
      <c r="K3" s="291"/>
      <c r="M3" s="31" t="s">
        <v>137</v>
      </c>
      <c r="N3" s="291"/>
    </row>
    <row r="4" spans="1:19" x14ac:dyDescent="0.2">
      <c r="B4" s="248" t="s">
        <v>434</v>
      </c>
      <c r="G4" s="32"/>
      <c r="H4" s="33"/>
      <c r="I4" s="4"/>
      <c r="J4" s="4"/>
      <c r="K4" s="4"/>
      <c r="L4" s="2"/>
    </row>
    <row r="5" spans="1:19" x14ac:dyDescent="0.2">
      <c r="D5" s="15"/>
      <c r="G5" s="31" t="s">
        <v>74</v>
      </c>
      <c r="H5" s="291"/>
      <c r="J5" s="31" t="s">
        <v>73</v>
      </c>
      <c r="K5" s="291"/>
      <c r="M5" s="31" t="s">
        <v>2</v>
      </c>
      <c r="N5" s="291"/>
    </row>
    <row r="6" spans="1:19" x14ac:dyDescent="0.2">
      <c r="B6" s="248" t="s">
        <v>435</v>
      </c>
      <c r="D6" s="15"/>
      <c r="E6" s="31"/>
      <c r="F6" s="14"/>
      <c r="G6" s="35"/>
      <c r="H6" s="33"/>
      <c r="I6" s="22"/>
      <c r="J6" s="4"/>
      <c r="K6" s="25"/>
      <c r="L6" s="4"/>
      <c r="M6" s="25"/>
      <c r="N6" s="4"/>
    </row>
    <row r="7" spans="1:19" x14ac:dyDescent="0.2">
      <c r="D7" s="15"/>
      <c r="G7" s="36" t="s">
        <v>75</v>
      </c>
      <c r="H7" s="290"/>
      <c r="J7" s="340" t="s">
        <v>648</v>
      </c>
      <c r="K7" s="290"/>
      <c r="M7" s="340" t="s">
        <v>649</v>
      </c>
      <c r="N7" s="291"/>
    </row>
    <row r="8" spans="1:19" x14ac:dyDescent="0.2">
      <c r="B8" s="248" t="s">
        <v>441</v>
      </c>
      <c r="E8" s="34"/>
      <c r="F8" s="14"/>
      <c r="O8" s="4"/>
      <c r="P8" s="26"/>
      <c r="Q8" s="12"/>
    </row>
    <row r="9" spans="1:19" x14ac:dyDescent="0.2">
      <c r="B9" s="248"/>
      <c r="E9" s="34"/>
      <c r="F9" s="14"/>
      <c r="G9" s="1" t="s">
        <v>627</v>
      </c>
      <c r="I9" s="376"/>
      <c r="J9" s="376"/>
      <c r="K9" s="376"/>
      <c r="L9" s="376"/>
      <c r="M9" s="1" t="s">
        <v>628</v>
      </c>
      <c r="N9" s="325"/>
      <c r="O9" s="4"/>
      <c r="P9" s="26"/>
      <c r="Q9" s="12"/>
    </row>
    <row r="10" spans="1:19" x14ac:dyDescent="0.2">
      <c r="B10" s="248" t="s">
        <v>436</v>
      </c>
      <c r="E10" s="34"/>
      <c r="F10" s="14"/>
      <c r="O10" s="4"/>
      <c r="P10" s="26"/>
      <c r="Q10" s="12"/>
    </row>
    <row r="11" spans="1:19" x14ac:dyDescent="0.2">
      <c r="E11" s="34"/>
      <c r="F11" s="14"/>
      <c r="O11" s="4"/>
      <c r="P11" s="26"/>
      <c r="Q11" s="12"/>
    </row>
    <row r="12" spans="1:19" x14ac:dyDescent="0.2">
      <c r="B12" s="248" t="s">
        <v>378</v>
      </c>
      <c r="E12" s="34"/>
      <c r="F12" s="14"/>
      <c r="G12" s="1" t="s">
        <v>629</v>
      </c>
      <c r="I12" s="376"/>
      <c r="J12" s="376"/>
      <c r="K12" s="376"/>
      <c r="L12" s="376"/>
      <c r="M12" s="1" t="s">
        <v>630</v>
      </c>
      <c r="N12" s="325"/>
      <c r="O12" s="4"/>
      <c r="P12" s="26"/>
      <c r="Q12" s="12"/>
    </row>
    <row r="13" spans="1:19" x14ac:dyDescent="0.2">
      <c r="E13" s="34"/>
      <c r="F13" s="14"/>
      <c r="O13" s="4"/>
      <c r="P13" s="26"/>
      <c r="Q13" s="12"/>
    </row>
    <row r="14" spans="1:19" x14ac:dyDescent="0.2">
      <c r="B14" s="248" t="s">
        <v>437</v>
      </c>
      <c r="E14" s="34"/>
      <c r="F14" s="14"/>
      <c r="O14" s="4"/>
      <c r="P14" s="26"/>
      <c r="Q14" s="12"/>
    </row>
    <row r="15" spans="1:19" x14ac:dyDescent="0.2">
      <c r="D15" s="15"/>
      <c r="G15" s="1" t="s">
        <v>445</v>
      </c>
      <c r="H15" s="376"/>
      <c r="I15" s="376"/>
      <c r="J15" s="376"/>
      <c r="K15" s="376"/>
      <c r="L15" s="376"/>
      <c r="M15" s="376"/>
      <c r="N15" s="376"/>
      <c r="O15" s="262"/>
      <c r="P15" s="262"/>
    </row>
    <row r="16" spans="1:19" x14ac:dyDescent="0.2">
      <c r="B16" s="248" t="s">
        <v>617</v>
      </c>
      <c r="D16" s="15"/>
      <c r="E16" s="34"/>
      <c r="F16" s="14"/>
      <c r="G16" s="2"/>
      <c r="H16" s="2"/>
      <c r="I16" s="4"/>
      <c r="J16" s="4"/>
      <c r="K16" s="4"/>
      <c r="L16" s="4"/>
      <c r="M16" s="4"/>
      <c r="N16" s="4"/>
      <c r="O16" s="4"/>
      <c r="P16" s="4"/>
      <c r="Q16" s="27"/>
      <c r="R16" s="27"/>
      <c r="S16" s="27"/>
    </row>
    <row r="17" spans="3:20" x14ac:dyDescent="0.2">
      <c r="C17" s="12"/>
      <c r="D17" s="23"/>
      <c r="G17" s="1" t="s">
        <v>446</v>
      </c>
      <c r="H17" s="325"/>
      <c r="I17" s="2"/>
      <c r="J17" s="2"/>
      <c r="M17" s="2"/>
      <c r="N17" s="2"/>
      <c r="O17" s="2"/>
      <c r="P17" s="2"/>
      <c r="Q17" s="28"/>
      <c r="R17" s="28"/>
      <c r="S17" s="28"/>
      <c r="T17" s="9"/>
    </row>
    <row r="18" spans="3:20" x14ac:dyDescent="0.2">
      <c r="C18" s="12"/>
      <c r="D18" s="21"/>
      <c r="F18" s="22"/>
      <c r="G18" s="22"/>
      <c r="H18" s="5"/>
      <c r="I18" s="5"/>
      <c r="J18" s="5"/>
      <c r="M18" s="4"/>
    </row>
    <row r="19" spans="3:20" x14ac:dyDescent="0.2">
      <c r="C19" s="12"/>
      <c r="D19" s="21"/>
      <c r="L19" s="29"/>
      <c r="M19" s="4"/>
    </row>
    <row r="20" spans="3:20" x14ac:dyDescent="0.2">
      <c r="C20" s="12"/>
      <c r="D20" s="21"/>
      <c r="E20" s="34"/>
      <c r="F20" s="14"/>
      <c r="G20" s="12" t="s">
        <v>120</v>
      </c>
      <c r="H20" s="100"/>
      <c r="I20" s="30"/>
      <c r="J20" s="257" t="s">
        <v>288</v>
      </c>
      <c r="K20" s="287"/>
      <c r="L20" s="350"/>
      <c r="M20" s="235"/>
      <c r="N20" s="235"/>
      <c r="O20" s="235"/>
      <c r="P20" s="236"/>
      <c r="Q20" s="236"/>
      <c r="R20" s="236"/>
    </row>
    <row r="21" spans="3:20" x14ac:dyDescent="0.2">
      <c r="C21" s="12"/>
      <c r="D21" s="21"/>
      <c r="E21" s="119"/>
      <c r="G21" s="237">
        <f>COUNTIF('All Contacts'!AB:AB,"Cycle 1")</f>
        <v>0</v>
      </c>
      <c r="H21" s="237"/>
      <c r="I21" s="237"/>
      <c r="J21" s="238">
        <f>COUNTIF('All Contacts'!AB:AB,"Cycle 2")</f>
        <v>0</v>
      </c>
      <c r="K21" s="234"/>
      <c r="L21" s="350"/>
      <c r="M21" s="238">
        <f>COUNTIF('All Contacts'!AB:AB,"Cycle 3")</f>
        <v>0</v>
      </c>
      <c r="N21" s="239"/>
      <c r="O21" s="239"/>
      <c r="P21" s="240">
        <f>COUNTA('All Contacts'!A:A)-1</f>
        <v>0</v>
      </c>
      <c r="Q21" s="241"/>
      <c r="R21" s="241"/>
    </row>
    <row r="22" spans="3:20" ht="13.5" thickBot="1" x14ac:dyDescent="0.25">
      <c r="C22" s="12"/>
      <c r="D22" s="23"/>
      <c r="E22" s="36" t="s">
        <v>440</v>
      </c>
      <c r="F22" s="22"/>
      <c r="G22" s="34" t="str">
        <f>"Total "&amp;G21&amp;" Contacts in Cycle 1"</f>
        <v>Total 0 Contacts in Cycle 1</v>
      </c>
      <c r="H22" s="156"/>
      <c r="I22" s="156"/>
      <c r="J22" s="34" t="str">
        <f>"Total "&amp;J21&amp;" Contacts in Cycle 2"</f>
        <v>Total 0 Contacts in Cycle 2</v>
      </c>
      <c r="K22" s="154"/>
      <c r="L22" s="155"/>
      <c r="M22" s="33" t="str">
        <f>"Total "&amp;M21&amp;" Contacts in Cycle 3"</f>
        <v>Total 0 Contacts in Cycle 3</v>
      </c>
      <c r="N22" s="148"/>
      <c r="O22" s="148"/>
      <c r="P22" s="31" t="str">
        <f>"Total "&amp;COUNTA('All Contacts'!A:A)-1&amp;" Contacts"</f>
        <v>Total 0 Contacts</v>
      </c>
    </row>
    <row r="23" spans="3:20" x14ac:dyDescent="0.2">
      <c r="C23" s="12"/>
      <c r="D23" s="23"/>
      <c r="E23" s="351" t="s">
        <v>419</v>
      </c>
      <c r="F23" s="352"/>
      <c r="G23" s="345" t="s">
        <v>415</v>
      </c>
      <c r="H23" s="346"/>
      <c r="I23" s="346"/>
      <c r="J23" s="345" t="s">
        <v>417</v>
      </c>
      <c r="K23" s="346"/>
      <c r="L23" s="346"/>
      <c r="M23" s="345" t="s">
        <v>418</v>
      </c>
      <c r="N23" s="346"/>
      <c r="O23" s="346"/>
      <c r="P23" s="345" t="s">
        <v>433</v>
      </c>
      <c r="Q23" s="346"/>
      <c r="R23" s="346"/>
    </row>
    <row r="24" spans="3:20" ht="13.5" thickBot="1" x14ac:dyDescent="0.25">
      <c r="C24" s="12"/>
      <c r="D24" s="23"/>
      <c r="E24" s="353"/>
      <c r="F24" s="354"/>
      <c r="G24" s="200" t="s">
        <v>129</v>
      </c>
      <c r="H24" s="200" t="s">
        <v>335</v>
      </c>
      <c r="I24" s="200" t="s">
        <v>416</v>
      </c>
      <c r="J24" s="164" t="s">
        <v>129</v>
      </c>
      <c r="K24" s="164" t="s">
        <v>335</v>
      </c>
      <c r="L24" s="164" t="s">
        <v>416</v>
      </c>
      <c r="M24" s="164" t="s">
        <v>129</v>
      </c>
      <c r="N24" s="164" t="s">
        <v>335</v>
      </c>
      <c r="O24" s="164" t="s">
        <v>416</v>
      </c>
      <c r="P24" s="164" t="s">
        <v>129</v>
      </c>
      <c r="Q24" s="164" t="s">
        <v>335</v>
      </c>
      <c r="R24" s="165" t="s">
        <v>416</v>
      </c>
    </row>
    <row r="25" spans="3:20" x14ac:dyDescent="0.2">
      <c r="E25" s="347" t="s">
        <v>397</v>
      </c>
      <c r="F25" s="197" t="s">
        <v>326</v>
      </c>
      <c r="G25" s="209">
        <f>IFERROR((G21-(COUNTIFS('All Contacts'!$C:$C, "Y", 'All Contacts'!$AB:$AB, "Cycle 1")+COUNTIFS('All Contacts'!$D:$D, "Y", 'All Contacts'!$AB:$AB, "Cycle 1"))-(COUNTIFS('All Contacts'!$C:$C, "N/A", 'All Contacts'!$AB:$AB, "Cycle 1")+COUNTIFS('All Contacts'!$D:$D, "N/A", 'All Contacts'!$AB:$AB, "Cycle 1")))/G21,0)</f>
        <v>0</v>
      </c>
      <c r="H25" s="210">
        <f>IFERROR((COUNTIFS('All Contacts'!$C:$C, "Y", 'All Contacts'!$AB:$AB, "Cycle 1")+COUNTIFS('All Contacts'!$D:$D, "Y", 'All Contacts'!$AB:$AB, "Cycle 1"))/G21,0)</f>
        <v>0</v>
      </c>
      <c r="I25" s="211">
        <f>IFERROR((COUNTIFS('All Contacts'!$C:$C, "N/A", 'All Contacts'!$AB:$AB, "Cycle 1")+COUNTIFS('All Contacts'!$D:$D, "N/A", 'All Contacts'!$AB:$AB, "Cycle 1"))/G21,0)</f>
        <v>0</v>
      </c>
      <c r="J25" s="209">
        <f>IFERROR((J21-COUNTIFS('All Contacts'!$C:$C, "Y", 'All Contacts'!$AB:$AB, "Cycle 2")-COUNTIFS('All Contacts'!$D:$D, "Y", 'All Contacts'!$AB:$AB, "Cycle 2")-COUNTIFS('All Contacts'!$C:$C, "N/A", 'All Contacts'!$AB:$AB, "Cycle 2")-COUNTIFS('All Contacts'!$D:$D, "N/A", 'All Contacts'!$AB:$AB, "Cycle 2"))/J21,0)</f>
        <v>0</v>
      </c>
      <c r="K25" s="210">
        <f>IFERROR((COUNTIFS('All Contacts'!$C:$C, "Y", 'All Contacts'!$AB:$AB, "Cycle 2")+COUNTIFS('All Contacts'!$D:$D, "Y", 'All Contacts'!$AB:$AB, "Cycle 2"))/J21,0)</f>
        <v>0</v>
      </c>
      <c r="L25" s="211">
        <f>IFERROR((COUNTIFS('All Contacts'!$C:$C, "N/A", 'All Contacts'!$AB:$AB, "Cycle 2")+COUNTIFS('All Contacts'!$D:$D, "N/A", 'All Contacts'!$AB:$AB, "Cycle 2"))/J21,0)</f>
        <v>0</v>
      </c>
      <c r="M25" s="209">
        <f>IFERROR((M21-COUNTIFS('All Contacts'!$C:$C, "Y", 'All Contacts'!$AB:$AB, "Cycle 3")-COUNTIFS('All Contacts'!$D:$D, "Y", 'All Contacts'!$AB:$AB, "Cycle 3")-COUNTIFS('All Contacts'!$C:$C, "N/A", 'All Contacts'!$AB:$AB, "Cycle 3")-COUNTIFS('All Contacts'!$D:$D, "N/A", 'All Contacts'!$AB:$AB, "Cycle 3"))/M21,0)</f>
        <v>0</v>
      </c>
      <c r="N25" s="210">
        <f>IFERROR((COUNTIFS('All Contacts'!$C:$C, "Y", 'All Contacts'!$AB:$AB, "Cycle 3")+COUNTIFS('All Contacts'!$D:$D, "Y", 'All Contacts'!$AB:$AB, "Cycle 3"))/M21,0)</f>
        <v>0</v>
      </c>
      <c r="O25" s="211">
        <f>IFERROR((COUNTIFS('All Contacts'!$C:$C, "N/A", 'All Contacts'!$AB:$AB, "Cycle 3")+COUNTIFS('All Contacts'!$D:$D, "N/A", 'All Contacts'!$AB:$AB, "Cycle 3"))/M21,0)</f>
        <v>0</v>
      </c>
      <c r="P25" s="209">
        <f>IFERROR(1-Q25-R25,0)</f>
        <v>1</v>
      </c>
      <c r="Q25" s="210">
        <f>IFERROR((COUNTIFS('All Contacts'!$C:$C, "Y")+COUNTIFS('All Contacts'!$D:$D, "Y"))/P21,0)</f>
        <v>0</v>
      </c>
      <c r="R25" s="211">
        <f>IFERROR((COUNTIFS('All Contacts'!$C:$C, "N/A")+COUNTIFS('All Contacts'!$D:$D, "N/A"))/P21,0)</f>
        <v>0</v>
      </c>
    </row>
    <row r="26" spans="3:20" x14ac:dyDescent="0.2">
      <c r="E26" s="348"/>
      <c r="F26" s="198" t="s">
        <v>624</v>
      </c>
      <c r="G26" s="212">
        <f>IFERROR(COUNTIFS('All Contacts'!$H:$H, "", 'All Contacts'!$AB:$AB, "Cycle 1")/G21,0)</f>
        <v>0</v>
      </c>
      <c r="H26" s="213">
        <f>IFERROR(COUNTIFS('All Contacts'!$H:$H, "Y", 'All Contacts'!$AB:$AB, "Cycle 1")/G21,0)</f>
        <v>0</v>
      </c>
      <c r="I26" s="214">
        <f>IFERROR(COUNTIFS('All Contacts'!$H:$H, "N/A", 'All Contacts'!$AB:$AB, "Cycle 1")/G21,0)</f>
        <v>0</v>
      </c>
      <c r="J26" s="212">
        <f>IFERROR(COUNTIFS('All Contacts'!$H:$H, "", 'All Contacts'!$AB:$AB, "Cycle 2")/J21,0)</f>
        <v>0</v>
      </c>
      <c r="K26" s="213">
        <f>IFERROR(COUNTIFS('All Contacts'!$H:$H, "Y", 'All Contacts'!$AB:$AB, "Cycle 2")/J21,0)</f>
        <v>0</v>
      </c>
      <c r="L26" s="215">
        <f>IFERROR(COUNTIFS('All Contacts'!$H:$H, "N/A", 'All Contacts'!$AB:$AB, "Cycle 2")/J21,0)</f>
        <v>0</v>
      </c>
      <c r="M26" s="212">
        <f>IFERROR(COUNTIFS('All Contacts'!$H:$H, "", 'All Contacts'!$AB:$AB, "Cycle 3")/M21,0)</f>
        <v>0</v>
      </c>
      <c r="N26" s="213">
        <f>IFERROR(COUNTIFS('All Contacts'!$H:$H, "Y", 'All Contacts'!$AB:$AB, "Cycle 3")/M21,0)</f>
        <v>0</v>
      </c>
      <c r="O26" s="215">
        <f>IFERROR(COUNTIFS('All Contacts'!$H:$H, "N/A", 'All Contacts'!$AB:$AB, "Cycle 3")/M21,0)</f>
        <v>0</v>
      </c>
      <c r="P26" s="212">
        <f>IFERROR(1-Q26-R26,0)</f>
        <v>1</v>
      </c>
      <c r="Q26" s="213">
        <f>IFERROR(COUNTIFS('All Contacts'!$H:$H, "Y")/P21,0)</f>
        <v>0</v>
      </c>
      <c r="R26" s="214">
        <f>IFERROR(COUNTIFS('All Contacts'!$H:$H, "N/A")/P21,0)</f>
        <v>0</v>
      </c>
    </row>
    <row r="27" spans="3:20" ht="13.5" thickBot="1" x14ac:dyDescent="0.25">
      <c r="E27" s="349"/>
      <c r="F27" s="199" t="s">
        <v>291</v>
      </c>
      <c r="G27" s="216">
        <f>IFERROR(COUNTIFS('All Contacts'!$B:$B, "", 'All Contacts'!$AB:$AB, "Cycle 1")/G21,0)</f>
        <v>0</v>
      </c>
      <c r="H27" s="217">
        <f>IFERROR(COUNTIFS('All Contacts'!$B:$B, "Y", 'All Contacts'!$AB:$AB, "Cycle 1")/G21,0)</f>
        <v>0</v>
      </c>
      <c r="I27" s="218">
        <f>IFERROR(COUNTIFS('All Contacts'!$B:$B, "N/A", 'All Contacts'!$AB:$AB, "Cycle 1")/G21,0)</f>
        <v>0</v>
      </c>
      <c r="J27" s="216">
        <f>IFERROR(COUNTIFS('All Contacts'!$B:$B, "", 'All Contacts'!$AB:$AB, "Cycle 2")/J21,0)</f>
        <v>0</v>
      </c>
      <c r="K27" s="217">
        <f>IFERROR(COUNTIFS('All Contacts'!$B:$B, "Y", 'All Contacts'!$AB:$AB, "Cycle 2")/J21,0)</f>
        <v>0</v>
      </c>
      <c r="L27" s="219">
        <f>IFERROR(COUNTIFS('All Contacts'!$B:$B, "N/A", 'All Contacts'!$AB:$AB, "Cycle 2")/J21,0)</f>
        <v>0</v>
      </c>
      <c r="M27" s="216">
        <f>IFERROR(COUNTIFS('All Contacts'!$B:$B, "", 'All Contacts'!$AB:$AB, "Cycle 3")/M21,0)</f>
        <v>0</v>
      </c>
      <c r="N27" s="217">
        <f>IFERROR(COUNTIFS('All Contacts'!$B:$B, "Y", 'All Contacts'!$AB:$AB, "Cycle 3")/M21,0)</f>
        <v>0</v>
      </c>
      <c r="O27" s="219">
        <f>IFERROR(COUNTIFS('All Contacts'!$B:$B, "N/A", 'All Contacts'!$AB:$AB, "Cycle 3")/M21,0)</f>
        <v>0</v>
      </c>
      <c r="P27" s="216">
        <f>IFERROR(1-Q27-R27,0)</f>
        <v>1</v>
      </c>
      <c r="Q27" s="217">
        <f>IFERROR(COUNTIFS('All Contacts'!$B:$B, "Y")/P21,0)</f>
        <v>0</v>
      </c>
      <c r="R27" s="218">
        <f>IFERROR(COUNTIFS('All Contacts'!$B:$B, "N/A")/P21,0)</f>
        <v>0</v>
      </c>
    </row>
    <row r="28" spans="3:20" ht="13.5" thickBot="1" x14ac:dyDescent="0.25">
      <c r="E28" s="12"/>
      <c r="G28" s="30"/>
      <c r="H28" s="30"/>
      <c r="I28" s="156"/>
      <c r="J28" s="30"/>
      <c r="K28" s="149"/>
      <c r="L28" s="155"/>
      <c r="M28" s="148"/>
      <c r="N28" s="148"/>
      <c r="O28" s="148"/>
      <c r="P28" s="30"/>
      <c r="Q28" s="30"/>
      <c r="R28" s="156"/>
    </row>
    <row r="29" spans="3:20" x14ac:dyDescent="0.2">
      <c r="E29" s="342" t="s">
        <v>399</v>
      </c>
      <c r="F29" s="201" t="s">
        <v>312</v>
      </c>
      <c r="G29" s="203">
        <f>IFERROR(COUNTIFS('All Contacts'!$J:$J, "Y", 'All Contacts'!$AB:$AB, "Cycle 1")/G21,0)</f>
        <v>0</v>
      </c>
      <c r="H29" s="204">
        <f>IFERROR(COUNTIFS('All Contacts'!$J:$J, "", 'All Contacts'!$AB:$AB, "Cycle 1")/G21,0)</f>
        <v>0</v>
      </c>
      <c r="I29" s="205">
        <f>IFERROR(COUNTIFS('All Contacts'!$J:$J, "N/A", 'All Contacts'!$AB:$AB, "Cycle 1")/G21,0)</f>
        <v>0</v>
      </c>
      <c r="J29" s="203">
        <f>IFERROR(COUNTIFS('All Contacts'!$J:$J, "Y", 'All Contacts'!$AB:$AB, "Cycle 2")/J21,0)</f>
        <v>0</v>
      </c>
      <c r="K29" s="204">
        <f>IFERROR(COUNTIFS('All Contacts'!$J:$J, "", 'All Contacts'!$AB:$AB, "Cycle 2")/J21,0)</f>
        <v>0</v>
      </c>
      <c r="L29" s="205">
        <f>IFERROR(COUNTIFS('All Contacts'!$J:$J, "N/A", 'All Contacts'!$AB:$AB, "Cycle 2")/J21,0)</f>
        <v>0</v>
      </c>
      <c r="M29" s="203">
        <f>IFERROR(COUNTIFS('All Contacts'!$J:$J, "Y", 'All Contacts'!$AB:$AB, "Cycle 3")/M21,0)</f>
        <v>0</v>
      </c>
      <c r="N29" s="204">
        <f>IFERROR(COUNTIFS('All Contacts'!$J:$J, "", 'All Contacts'!$AB:$AB, "Cycle 3")/M21,0)</f>
        <v>0</v>
      </c>
      <c r="O29" s="227">
        <f>IFERROR(COUNTIFS('All Contacts'!$J:$J, "N/A", 'All Contacts'!$AB:$AB, "Cycle 3")/M21,0)</f>
        <v>0</v>
      </c>
      <c r="P29" s="203">
        <f>IFERROR(COUNTIFS('All Contacts'!$J:$J, "Y")/P21,0)</f>
        <v>0</v>
      </c>
      <c r="Q29" s="204">
        <f>IFERROR(1-P29-R29,0)</f>
        <v>1</v>
      </c>
      <c r="R29" s="205">
        <f>IFERROR(COUNTIFS('All Contacts'!$J:$J, "N/A")/P21,0)</f>
        <v>0</v>
      </c>
    </row>
    <row r="30" spans="3:20" ht="13.5" thickBot="1" x14ac:dyDescent="0.25">
      <c r="E30" s="344"/>
      <c r="F30" s="202" t="s">
        <v>314</v>
      </c>
      <c r="G30" s="206">
        <f>IFERROR(COUNTIFS('All Contacts'!$K:$K, "Y", 'All Contacts'!$AB:$AB, "Cycle 1")/G21,0)</f>
        <v>0</v>
      </c>
      <c r="H30" s="207">
        <f>IFERROR(COUNTIFS('All Contacts'!$K:$K, "", 'All Contacts'!$AB:$AB, "Cycle 1")/G21,0)</f>
        <v>0</v>
      </c>
      <c r="I30" s="208">
        <f>IFERROR(COUNTIFS('All Contacts'!$K:$K, "N/A", 'All Contacts'!$AB:$AB, "Cycle 1")/G21,0)</f>
        <v>0</v>
      </c>
      <c r="J30" s="206">
        <f>IFERROR(COUNTIFS('All Contacts'!$K:$K, "Y", 'All Contacts'!$AB:$AB, "Cycle 2")/J21,0)</f>
        <v>0</v>
      </c>
      <c r="K30" s="207">
        <f>IFERROR(COUNTIFS('All Contacts'!$K:$K, "", 'All Contacts'!$AB:$AB, "Cycle 2")/J21,0)</f>
        <v>0</v>
      </c>
      <c r="L30" s="208">
        <f>IFERROR(COUNTIFS('All Contacts'!$K:$K, "N/A", 'All Contacts'!$AB:$AB, "Cycle 2")/J21,0)</f>
        <v>0</v>
      </c>
      <c r="M30" s="206">
        <f>IFERROR(COUNTIFS('All Contacts'!$K:$K, "Y", 'All Contacts'!$AB:$AB, "Cycle 3")/M21,0)</f>
        <v>0</v>
      </c>
      <c r="N30" s="207">
        <f>IFERROR(COUNTIFS('All Contacts'!$K:$K, "", 'All Contacts'!$AB:$AB, "Cycle 3")/M21,0)</f>
        <v>0</v>
      </c>
      <c r="O30" s="228">
        <f>IFERROR(COUNTIFS('All Contacts'!$K:$K, "N/A", 'All Contacts'!$AB:$AB, "Cycle 3")/M21,0)</f>
        <v>0</v>
      </c>
      <c r="P30" s="206">
        <f>IFERROR(COUNTIFS('All Contacts'!$K:$K, "Y")/P21,0)</f>
        <v>0</v>
      </c>
      <c r="Q30" s="207">
        <f>IFERROR(1-P30-R30,0)</f>
        <v>1</v>
      </c>
      <c r="R30" s="208">
        <f>IFERROR(COUNTIFS('All Contacts'!$K:$K, "N/A")/P21,0)</f>
        <v>0</v>
      </c>
    </row>
    <row r="31" spans="3:20" ht="13.5" thickBot="1" x14ac:dyDescent="0.25">
      <c r="E31" s="12"/>
      <c r="G31" s="148"/>
      <c r="H31" s="148"/>
      <c r="I31" s="153"/>
      <c r="J31" s="149"/>
      <c r="K31" s="149"/>
      <c r="L31" s="156"/>
      <c r="M31" s="148"/>
      <c r="N31" s="148"/>
      <c r="O31" s="148"/>
      <c r="P31" s="148"/>
      <c r="Q31" s="148"/>
      <c r="R31" s="153"/>
    </row>
    <row r="32" spans="3:20" x14ac:dyDescent="0.2">
      <c r="E32" s="342" t="s">
        <v>400</v>
      </c>
      <c r="F32" s="201" t="s">
        <v>401</v>
      </c>
      <c r="G32" s="203">
        <f>IFERROR(COUNTIFS('All Contacts'!$L:$L, "Y", 'All Contacts'!$AB:$AB, "Cycle 1")/G21,0)</f>
        <v>0</v>
      </c>
      <c r="H32" s="204">
        <f>IFERROR(COUNTIFS('All Contacts'!$L:$L, "", 'All Contacts'!$AB:$AB, "Cycle 1")/G21,0)</f>
        <v>0</v>
      </c>
      <c r="I32" s="220">
        <f>IFERROR(COUNTIFS('All Contacts'!$L:$L, "N/A", 'All Contacts'!$AB:$AB, "Cycle 1")/G21,0)</f>
        <v>0</v>
      </c>
      <c r="J32" s="203">
        <f>IFERROR(COUNTIFS('All Contacts'!$L:$L, "Y", 'All Contacts'!$AB:$AB, "Cycle 2")/J21,0)</f>
        <v>0</v>
      </c>
      <c r="K32" s="204">
        <f>IFERROR(COUNTIFS('All Contacts'!$L:$L, "", 'All Contacts'!$AB:$AB, "Cycle 2")/J21,0)</f>
        <v>0</v>
      </c>
      <c r="L32" s="220">
        <f>IFERROR(COUNTIFS('All Contacts'!$L:$L, "N/A", 'All Contacts'!$AB:$AB, "Cycle 2")/J21,0)</f>
        <v>0</v>
      </c>
      <c r="M32" s="203">
        <f>IFERROR(COUNTIFS('All Contacts'!$L:$L, "Y", 'All Contacts'!$AB:$AB, "Cycle 3")/M21,0)</f>
        <v>0</v>
      </c>
      <c r="N32" s="204">
        <f>IFERROR(COUNTIFS('All Contacts'!$L:$L, "", 'All Contacts'!$AB:$AB, "Cycle 3")/M21,0)</f>
        <v>0</v>
      </c>
      <c r="O32" s="220">
        <f>IFERROR(COUNTIFS('All Contacts'!$L:$L, "N/A", 'All Contacts'!$AB:$AB, "Cycle 3")/M21,0)</f>
        <v>0</v>
      </c>
      <c r="P32" s="203">
        <f>IFERROR(COUNTIFS('All Contacts'!$L:$L, "Y")/P21,0)</f>
        <v>0</v>
      </c>
      <c r="Q32" s="204">
        <f>IFERROR(1-P32-R32,0)</f>
        <v>1</v>
      </c>
      <c r="R32" s="220">
        <f>IFERROR(COUNTIFS('All Contacts'!$L:$L, "N/A")/P21,0)</f>
        <v>0</v>
      </c>
    </row>
    <row r="33" spans="5:18" ht="13.5" thickBot="1" x14ac:dyDescent="0.25">
      <c r="E33" s="344"/>
      <c r="F33" s="202" t="s">
        <v>294</v>
      </c>
      <c r="G33" s="206">
        <f>IFERROR(COUNTIFS('All Contacts'!$G:$G, "", 'All Contacts'!$AB:$AB, "Cycle 1")/G21,0)</f>
        <v>0</v>
      </c>
      <c r="H33" s="207">
        <f>IFERROR(COUNTIFS('All Contacts'!$G:$G, "Y", 'All Contacts'!$AB:$AB, "Cycle 1")/G21,0)</f>
        <v>0</v>
      </c>
      <c r="I33" s="221">
        <f>IFERROR(COUNTIFS('All Contacts'!$G:$G, "N/A", 'All Contacts'!$AB:$AB, "Cycle 1")/G21,0)</f>
        <v>0</v>
      </c>
      <c r="J33" s="206">
        <f>IFERROR(COUNTIFS('All Contacts'!$G:$G, "", 'All Contacts'!$AB:$AB, "Cycle 2")/J21,0)</f>
        <v>0</v>
      </c>
      <c r="K33" s="207">
        <f>IFERROR(COUNTIFS('All Contacts'!$G:$G, "Y", 'All Contacts'!$AB:$AB, "Cycle 2")/J21,0)</f>
        <v>0</v>
      </c>
      <c r="L33" s="221">
        <f>IFERROR(COUNTIFS('All Contacts'!$G:$G, "N/A", 'All Contacts'!$AB:$AB, "Cycle 2")/J21,0)</f>
        <v>0</v>
      </c>
      <c r="M33" s="206">
        <f>IFERROR(COUNTIFS('All Contacts'!$G:$G, "", 'All Contacts'!$AB:$AB, "Cycle 3")/M21,0)</f>
        <v>0</v>
      </c>
      <c r="N33" s="207">
        <f>IFERROR(COUNTIFS('All Contacts'!$G:$G, "Y", 'All Contacts'!$AB:$AB, "Cycle 3")/M21,0)</f>
        <v>0</v>
      </c>
      <c r="O33" s="221">
        <f>IFERROR(COUNTIFS('All Contacts'!$G:$G, "N/A", 'All Contacts'!$AB:$AB, "Cycle 3")/M21,0)</f>
        <v>0</v>
      </c>
      <c r="P33" s="206">
        <f>IFERROR(1-Q33-R33,0)</f>
        <v>1</v>
      </c>
      <c r="Q33" s="207">
        <f>IFERROR(COUNTIFS('All Contacts'!$G:$G, "Y")/P21,0)</f>
        <v>0</v>
      </c>
      <c r="R33" s="221">
        <f>IFERROR(COUNTIFS('All Contacts'!$G:$G, "N/A")/P21,0)</f>
        <v>0</v>
      </c>
    </row>
    <row r="34" spans="5:18" ht="13.5" thickBot="1" x14ac:dyDescent="0.25">
      <c r="E34" s="12"/>
      <c r="G34" s="148"/>
      <c r="H34" s="148"/>
      <c r="I34" s="153"/>
      <c r="J34" s="149"/>
      <c r="K34" s="149"/>
      <c r="L34" s="153"/>
      <c r="M34" s="148"/>
      <c r="N34" s="148"/>
      <c r="O34" s="148"/>
      <c r="P34" s="148"/>
      <c r="Q34" s="148"/>
      <c r="R34" s="153"/>
    </row>
    <row r="35" spans="5:18" x14ac:dyDescent="0.2">
      <c r="E35" s="342" t="s">
        <v>402</v>
      </c>
      <c r="F35" s="201" t="s">
        <v>306</v>
      </c>
      <c r="G35" s="203">
        <f>IFERROR((G21-(COUNTIFS('All Contacts'!$E:$E, "Y", 'All Contacts'!$AB:$AB, "Cycle 1")+COUNTIFS('All Contacts'!$F:$F, "Y", 'All Contacts'!$AB:$AB, "Cycle 1"))-(COUNTIFS('All Contacts'!$E:$E, "N/A", 'All Contacts'!$AB:$AB, "Cycle 1")+COUNTIFS('All Contacts'!$F:$F, "N/A", 'All Contacts'!$AB:$AB, "Cycle 1")))/G21,0)</f>
        <v>0</v>
      </c>
      <c r="H35" s="204">
        <f>IFERROR((COUNTIFS('All Contacts'!$E:$E, "Y", 'All Contacts'!$AB:$AB, "Cycle 1")+COUNTIFS('All Contacts'!$F:$F, "Y", 'All Contacts'!$AB:$AB, "Cycle 1"))/G21,0)</f>
        <v>0</v>
      </c>
      <c r="I35" s="220">
        <f>IFERROR((COUNTIFS('All Contacts'!$E:$E, "N/A", 'All Contacts'!$AB:$AB, "Cycle 1")+COUNTIFS('All Contacts'!$F:$F, "N/A", 'All Contacts'!$AB:$AB, "Cycle 1"))/G21,0)</f>
        <v>0</v>
      </c>
      <c r="J35" s="203">
        <f>IFERROR((J21-(COUNTIFS('All Contacts'!$E:$E, "Y", 'All Contacts'!$AB:$AB, "Cycle 2")+COUNTIFS('All Contacts'!$F:$F, "Y", 'All Contacts'!$AB:$AB, "Cycle 2"))-(COUNTIFS('All Contacts'!$E:$E, "N/A", 'All Contacts'!$AB:$AB, "Cycle 2")+COUNTIFS('All Contacts'!$F:$F, "N/A", 'All Contacts'!$AB:$AB, "Cycle 2")))/J21,0)</f>
        <v>0</v>
      </c>
      <c r="K35" s="204">
        <f>IFERROR((COUNTIFS('All Contacts'!$E:$E, "Y", 'All Contacts'!$AB:$AB, "Cycle 2")+COUNTIFS('All Contacts'!$F:$F, "Y", 'All Contacts'!$AB:$AB, "Cycle 2"))/J21,0)</f>
        <v>0</v>
      </c>
      <c r="L35" s="220">
        <f>IFERROR((COUNTIFS('All Contacts'!$E:$E, "N/A", 'All Contacts'!$AB:$AB, "Cycle 2")+COUNTIFS('All Contacts'!$F:$F, "N/A", 'All Contacts'!$AB:$AB, "Cycle 2"))/J21,0)</f>
        <v>0</v>
      </c>
      <c r="M35" s="203">
        <f>IFERROR((M21-(COUNTIFS('All Contacts'!$E:$E, "Y", 'All Contacts'!$AB:$AB, "Cycle 3")+COUNTIFS('All Contacts'!$F:$F, "Y", 'All Contacts'!$AB:$AB, "Cycle 3"))-(COUNTIFS('All Contacts'!$E:$E, "N/A", 'All Contacts'!$AB:$AB, "Cycle 3")+COUNTIFS('All Contacts'!$F:$F, "N/A", 'All Contacts'!$AB:$AB, "Cycle 3")))/M21,0)</f>
        <v>0</v>
      </c>
      <c r="N35" s="204">
        <f>IFERROR((COUNTIFS('All Contacts'!$E:$E, "Y", 'All Contacts'!$AB:$AB, "Cycle 3")+COUNTIFS('All Contacts'!$F:$F, "Y", 'All Contacts'!$AB:$AB, "Cycle 3"))/M21,0)</f>
        <v>0</v>
      </c>
      <c r="O35" s="229">
        <f>IFERROR((COUNTIFS('All Contacts'!$E:$E, "N/A", 'All Contacts'!$AB:$AB, "Cycle 3")+COUNTIFS('All Contacts'!$F:$F, "N/A", 'All Contacts'!$AB:$AB, "Cycle 3"))/M21,0)</f>
        <v>0</v>
      </c>
      <c r="P35" s="203">
        <f>IFERROR(1-Q35-R35,0)</f>
        <v>1</v>
      </c>
      <c r="Q35" s="204">
        <f>IFERROR((COUNTIFS('All Contacts'!$E:$E, "Y")+COUNTIFS('All Contacts'!$F:$F, "Y"))/P21,0)</f>
        <v>0</v>
      </c>
      <c r="R35" s="220">
        <f>IFERROR((COUNTIFS('All Contacts'!$E:$E, "N/A")+COUNTIFS('All Contacts'!$F:$F, "N/A"))/P21,0)</f>
        <v>0</v>
      </c>
    </row>
    <row r="36" spans="5:18" x14ac:dyDescent="0.2">
      <c r="E36" s="343"/>
      <c r="F36" s="223" t="s">
        <v>310</v>
      </c>
      <c r="G36" s="224">
        <f>IFERROR(COUNTIFS('All Contacts'!$M:$M, "Y", 'All Contacts'!$AB:$AB, "Cycle 1")/G21,0)</f>
        <v>0</v>
      </c>
      <c r="H36" s="222">
        <f>IFERROR(COUNTIFS('All Contacts'!$M:$M, "", 'All Contacts'!$AB:$AB, "Cycle 1")/G21,0)</f>
        <v>0</v>
      </c>
      <c r="I36" s="225">
        <f>IFERROR(COUNTIFS('All Contacts'!$M:$M, "n/a", 'All Contacts'!$AB:$AB, "Cycle 1")/G21,0)</f>
        <v>0</v>
      </c>
      <c r="J36" s="224">
        <f>IFERROR(COUNTIFS('All Contacts'!$M:$M, "Y", 'All Contacts'!$AB:$AB, "Cycle 2")/J21,0)</f>
        <v>0</v>
      </c>
      <c r="K36" s="222">
        <f>IFERROR(COUNTIFS('All Contacts'!$M:$M, "", 'All Contacts'!$AB:$AB, "Cycle 2")/J21,0)</f>
        <v>0</v>
      </c>
      <c r="L36" s="225">
        <f>IFERROR(COUNTIFS('All Contacts'!$M:$M, "n/a", 'All Contacts'!$AB:$AB, "Cycle 2")/J21,0)</f>
        <v>0</v>
      </c>
      <c r="M36" s="224">
        <f>IFERROR(COUNTIFS('All Contacts'!$M:$M, "Y", 'All Contacts'!$AB:$AB, "Cycle 3")/M21,0)</f>
        <v>0</v>
      </c>
      <c r="N36" s="222">
        <f>IFERROR(COUNTIFS('All Contacts'!$M:$M, "", 'All Contacts'!$AB:$AB, "Cycle 3")/M21,0)</f>
        <v>0</v>
      </c>
      <c r="O36" s="230">
        <f>IFERROR(COUNTIFS('All Contacts'!$M:$M, "n/a", 'All Contacts'!$AB:$AB, "Cycle 3")/M21,0)</f>
        <v>0</v>
      </c>
      <c r="P36" s="224">
        <f>IFERROR(COUNTIFS('All Contacts'!$M:$M, "Y")/P21,0)</f>
        <v>0</v>
      </c>
      <c r="Q36" s="222">
        <f>IFERROR(1-P36-R36,0)</f>
        <v>1</v>
      </c>
      <c r="R36" s="225">
        <f>IFERROR(COUNTIFS('All Contacts'!$M:$M, "n/a")/P21,0)</f>
        <v>0</v>
      </c>
    </row>
    <row r="37" spans="5:18" x14ac:dyDescent="0.2">
      <c r="E37" s="343"/>
      <c r="F37" s="223" t="s">
        <v>318</v>
      </c>
      <c r="G37" s="224">
        <f>IFERROR(COUNTIFS('All Contacts'!$N:$N, "Y", 'All Contacts'!$AB:$AB, "Cycle 1")/G21,0)</f>
        <v>0</v>
      </c>
      <c r="H37" s="222">
        <f>IFERROR(COUNTIFS('All Contacts'!$N:$N, "", 'All Contacts'!$AB:$AB, "Cycle 1")/G21,0)</f>
        <v>0</v>
      </c>
      <c r="I37" s="225">
        <f>IFERROR(COUNTIFS('All Contacts'!$N:$N, "N/A", 'All Contacts'!$AB:$AB, "Cycle 1")/G21,0)</f>
        <v>0</v>
      </c>
      <c r="J37" s="224">
        <f>IFERROR(COUNTIFS('All Contacts'!$N:$N, "Y", 'All Contacts'!$AB:$AB, "Cycle 2")/J21,0)</f>
        <v>0</v>
      </c>
      <c r="K37" s="222">
        <f>IFERROR(COUNTIFS('All Contacts'!$N:$N, "", 'All Contacts'!$AB:$AB, "Cycle 2")/J21,0)</f>
        <v>0</v>
      </c>
      <c r="L37" s="225">
        <f>IFERROR(COUNTIFS('All Contacts'!$N:$N, "N/A", 'All Contacts'!$AB:$AB, "Cycle 2")/J21,0)</f>
        <v>0</v>
      </c>
      <c r="M37" s="224">
        <f>IFERROR(COUNTIFS('All Contacts'!$N:$N, "Y", 'All Contacts'!$AB:$AB, "Cycle 3")/M21,0)</f>
        <v>0</v>
      </c>
      <c r="N37" s="222">
        <f>IFERROR(COUNTIFS('All Contacts'!$N:$N, "", 'All Contacts'!$AB:$AB, "Cycle 3")/M21,0)</f>
        <v>0</v>
      </c>
      <c r="O37" s="230">
        <f>IFERROR(COUNTIFS('All Contacts'!$N:$N, "N/A", 'All Contacts'!$AB:$AB, "Cycle 3")/M21,0)</f>
        <v>0</v>
      </c>
      <c r="P37" s="224">
        <f>IFERROR(COUNTIFS('All Contacts'!$N:$N, "Y")/P21,0)</f>
        <v>0</v>
      </c>
      <c r="Q37" s="222">
        <f>IFERROR(1-P37-R37,0)</f>
        <v>1</v>
      </c>
      <c r="R37" s="225">
        <f>IFERROR(COUNTIFS('All Contacts'!$N:$N, "N/A")/P21,0)</f>
        <v>0</v>
      </c>
    </row>
    <row r="38" spans="5:18" ht="13.5" thickBot="1" x14ac:dyDescent="0.25">
      <c r="E38" s="344"/>
      <c r="F38" s="202" t="s">
        <v>322</v>
      </c>
      <c r="G38" s="206">
        <f>IFERROR(COUNTIFS('All Contacts'!$O:$O, "Y", 'All Contacts'!$AB:$AB, "Cycle 1")/G21,0)</f>
        <v>0</v>
      </c>
      <c r="H38" s="207">
        <f>IFERROR(COUNTIFS('All Contacts'!$O:$O, "", 'All Contacts'!$AB:$AB, "Cycle 1")/G21,0)</f>
        <v>0</v>
      </c>
      <c r="I38" s="221">
        <f>IFERROR(COUNTIFS('All Contacts'!$O:$O, "N/A", 'All Contacts'!$AB:$AB, "Cycle 1")/G21,0)</f>
        <v>0</v>
      </c>
      <c r="J38" s="206">
        <f>IFERROR(COUNTIFS('All Contacts'!$O:$O, "Y", 'All Contacts'!$AB:$AB, "Cycle 2")/J21,0)</f>
        <v>0</v>
      </c>
      <c r="K38" s="207">
        <f>IFERROR(COUNTIFS('All Contacts'!$O:$O, "", 'All Contacts'!$AB:$AB, "Cycle 2")/J21,0)</f>
        <v>0</v>
      </c>
      <c r="L38" s="221">
        <f>IFERROR(COUNTIFS('All Contacts'!$O:$O, "N/A", 'All Contacts'!$AB:$AB, "Cycle 2")/J21,0)</f>
        <v>0</v>
      </c>
      <c r="M38" s="206">
        <f>IFERROR(COUNTIFS('All Contacts'!$O:$O, "Y", 'All Contacts'!$AB:$AB, "Cycle 3")/M21,0)</f>
        <v>0</v>
      </c>
      <c r="N38" s="207">
        <f>IFERROR(COUNTIFS('All Contacts'!$O:$O, "", 'All Contacts'!$AB:$AB, "Cycle 3")/M21,0)</f>
        <v>0</v>
      </c>
      <c r="O38" s="231">
        <f>IFERROR(COUNTIFS('All Contacts'!$O:$O, "N/A", 'All Contacts'!$AB:$AB, "Cycle 3")/M21,0)</f>
        <v>0</v>
      </c>
      <c r="P38" s="206">
        <f>IFERROR(COUNTIFS('All Contacts'!$O:$O, "Y")/P21,0)</f>
        <v>0</v>
      </c>
      <c r="Q38" s="207">
        <f>IFERROR(1-P38-R38,0)</f>
        <v>1</v>
      </c>
      <c r="R38" s="221">
        <f>IFERROR(COUNTIFS('All Contacts'!$O:$O, "N/A")/P21,0)</f>
        <v>0</v>
      </c>
    </row>
    <row r="39" spans="5:18" ht="13.5" thickBot="1" x14ac:dyDescent="0.25">
      <c r="E39" s="12"/>
      <c r="G39" s="148"/>
      <c r="H39" s="148"/>
      <c r="I39" s="153"/>
      <c r="J39" s="149"/>
      <c r="K39" s="149"/>
      <c r="L39" s="153"/>
      <c r="M39" s="148"/>
      <c r="N39" s="148"/>
      <c r="O39" s="148"/>
      <c r="P39" s="148"/>
      <c r="Q39" s="148"/>
      <c r="R39" s="153"/>
    </row>
    <row r="40" spans="5:18" x14ac:dyDescent="0.2">
      <c r="E40" s="342" t="s">
        <v>403</v>
      </c>
      <c r="F40" s="201" t="s">
        <v>319</v>
      </c>
      <c r="G40" s="203">
        <f>IFERROR(COUNTIFS('All Contacts'!$P:$P, "Y", 'All Contacts'!$AB:$AB, "Cycle 1")/G21,0)</f>
        <v>0</v>
      </c>
      <c r="H40" s="204">
        <f>IFERROR(COUNTIFS('All Contacts'!$P:$P, "", 'All Contacts'!$AB:$AB, "Cycle 1")/G21,0)</f>
        <v>0</v>
      </c>
      <c r="I40" s="220">
        <f>IFERROR(COUNTIFS('All Contacts'!$P:$P, "N/A", 'All Contacts'!$AB:$AB, "Cycle 1")/G21,0)</f>
        <v>0</v>
      </c>
      <c r="J40" s="203">
        <f>IFERROR(COUNTIFS('All Contacts'!$P:$P, "Y", 'All Contacts'!$AB:$AB, "Cycle 2")/J21,0)</f>
        <v>0</v>
      </c>
      <c r="K40" s="204">
        <f>IFERROR(COUNTIFS('All Contacts'!$P:$P, "", 'All Contacts'!$AB:$AB, "Cycle 2")/J21,0)</f>
        <v>0</v>
      </c>
      <c r="L40" s="220">
        <f>IFERROR(COUNTIFS('All Contacts'!$P:$P, "N/A", 'All Contacts'!$AB:$AB, "Cycle 2")/J21,0)</f>
        <v>0</v>
      </c>
      <c r="M40" s="203">
        <f>IFERROR(COUNTIFS('All Contacts'!$P:$P, "Y", 'All Contacts'!$AB:$AB, "Cycle 3")/M21,0)</f>
        <v>0</v>
      </c>
      <c r="N40" s="204">
        <f>IFERROR(COUNTIFS('All Contacts'!$P:$P, "", 'All Contacts'!$AB:$AB, "Cycle 3")/M21,0)</f>
        <v>0</v>
      </c>
      <c r="O40" s="220">
        <f>IFERROR(COUNTIFS('All Contacts'!$P:$P, "N/A", 'All Contacts'!$AB:$AB, "Cycle 3")/M21,0)</f>
        <v>0</v>
      </c>
      <c r="P40" s="203">
        <f>IFERROR(COUNTIFS('All Contacts'!$P:$P, "Y")/P21,0)</f>
        <v>0</v>
      </c>
      <c r="Q40" s="204">
        <f>IFERROR(1-P40-R40,0)</f>
        <v>1</v>
      </c>
      <c r="R40" s="220">
        <f>IFERROR(COUNTIFS('All Contacts'!$P:$P, "N/A")/P21,0)</f>
        <v>0</v>
      </c>
    </row>
    <row r="41" spans="5:18" x14ac:dyDescent="0.2">
      <c r="E41" s="343"/>
      <c r="F41" s="223" t="s">
        <v>320</v>
      </c>
      <c r="G41" s="224">
        <f>IFERROR(COUNTIFS('All Contacts'!$R:$R, "Y", 'All Contacts'!$AB:$AB, "Cycle 1")/G21,0)</f>
        <v>0</v>
      </c>
      <c r="H41" s="222">
        <f>IFERROR(COUNTIFS('All Contacts'!$R:$R, "", 'All Contacts'!$AB:$AB, "Cycle 1")/G21,0)</f>
        <v>0</v>
      </c>
      <c r="I41" s="225">
        <f>IFERROR(COUNTIFS('All Contacts'!$R:$R, "N/A", 'All Contacts'!$AB:$AB, "Cycle 1")/G21,0)</f>
        <v>0</v>
      </c>
      <c r="J41" s="224">
        <f>IFERROR(COUNTIFS('All Contacts'!$R:$R, "Y", 'All Contacts'!$AB:$AB, "Cycle 2")/J21,0)</f>
        <v>0</v>
      </c>
      <c r="K41" s="222">
        <f>IFERROR(COUNTIFS('All Contacts'!$R:$R, "", 'All Contacts'!$AB:$AB, "Cycle 2")/J21,0)</f>
        <v>0</v>
      </c>
      <c r="L41" s="225">
        <f>IFERROR(COUNTIFS('All Contacts'!$R:$R, "N/A", 'All Contacts'!$AB:$AB, "Cycle 2")/J21,0)</f>
        <v>0</v>
      </c>
      <c r="M41" s="224">
        <f>IFERROR(COUNTIFS('All Contacts'!$R:$R, "Y", 'All Contacts'!$AB:$AB, "Cycle 3")/M21,0)</f>
        <v>0</v>
      </c>
      <c r="N41" s="222">
        <f>IFERROR(COUNTIFS('All Contacts'!$R:$R, "", 'All Contacts'!$AB:$AB, "Cycle 3")/M21,0)</f>
        <v>0</v>
      </c>
      <c r="O41" s="225">
        <f>IFERROR(COUNTIFS('All Contacts'!$R:$R, "N/A", 'All Contacts'!$AB:$AB, "Cycle 3")/M21,0)</f>
        <v>0</v>
      </c>
      <c r="P41" s="224">
        <f>IFERROR(COUNTIFS('All Contacts'!$R:$R, "Y")/P21,0)</f>
        <v>0</v>
      </c>
      <c r="Q41" s="222">
        <f>IFERROR(1-P41-R41,0)</f>
        <v>1</v>
      </c>
      <c r="R41" s="225">
        <f>IFERROR(COUNTIFS('All Contacts'!$R:$R, "N/A")/P21,0)</f>
        <v>0</v>
      </c>
    </row>
    <row r="42" spans="5:18" ht="13.5" thickBot="1" x14ac:dyDescent="0.25">
      <c r="E42" s="344"/>
      <c r="F42" s="202" t="s">
        <v>321</v>
      </c>
      <c r="G42" s="206">
        <f>IFERROR(COUNTIFS('All Contacts'!$Q:$Q, "Y", 'All Contacts'!$AB:$AB, "Cycle 1")/G21,0)</f>
        <v>0</v>
      </c>
      <c r="H42" s="207">
        <f>IFERROR(COUNTIFS('All Contacts'!$Q:$Q, "", 'All Contacts'!$AB:$AB, "Cycle 1")/G21,0)</f>
        <v>0</v>
      </c>
      <c r="I42" s="221">
        <f>IFERROR(COUNTIFS('All Contacts'!$Q:$Q, "N/A", 'All Contacts'!$AB:$AB, "Cycle 1")/G21,0)</f>
        <v>0</v>
      </c>
      <c r="J42" s="206">
        <f>IFERROR(COUNTIFS('All Contacts'!$Q:$Q, "Y", 'All Contacts'!$AB:$AB, "Cycle 2")/J21,0)</f>
        <v>0</v>
      </c>
      <c r="K42" s="207">
        <f>IFERROR(COUNTIFS('All Contacts'!$Q:$Q, "", 'All Contacts'!$AB:$AB, "Cycle 2")/J21,0)</f>
        <v>0</v>
      </c>
      <c r="L42" s="221">
        <f>IFERROR(COUNTIFS('All Contacts'!$Q:$Q, "N/A", 'All Contacts'!$AB:$AB, "Cycle 2")/J21,0)</f>
        <v>0</v>
      </c>
      <c r="M42" s="206">
        <f>IFERROR(COUNTIFS('All Contacts'!$Q:$Q, "Y", 'All Contacts'!$AB:$AB, "Cycle 3")/M21,0)</f>
        <v>0</v>
      </c>
      <c r="N42" s="207">
        <f>IFERROR(COUNTIFS('All Contacts'!$Q:$Q, "", 'All Contacts'!$AB:$AB, "Cycle 3")/M21,0)</f>
        <v>0</v>
      </c>
      <c r="O42" s="221">
        <f>IFERROR(COUNTIFS('All Contacts'!$Q:$Q, "N/A", 'All Contacts'!$AB:$AB, "Cycle 3")/M21,0)</f>
        <v>0</v>
      </c>
      <c r="P42" s="206">
        <f>IFERROR(COUNTIFS('All Contacts'!$Q:$Q, "Y")/P21,0)</f>
        <v>0</v>
      </c>
      <c r="Q42" s="207">
        <f>IFERROR(1-P42-R42,0)</f>
        <v>1</v>
      </c>
      <c r="R42" s="221">
        <f>IFERROR(COUNTIFS('All Contacts'!$Q:$Q, "N/A")/P21,0)</f>
        <v>0</v>
      </c>
    </row>
    <row r="43" spans="5:18" ht="13.5" thickBot="1" x14ac:dyDescent="0.25">
      <c r="E43" s="12"/>
      <c r="F43" s="48"/>
      <c r="G43" s="243">
        <f>COUNTIFS('All Contacts'!AB:AB,"Cycle 1",'All Contacts'!A:A,"Call")+COUNTIFS('All Contacts'!AB:AB,"Cycle 1",'All Contacts'!A:A,"Chat")</f>
        <v>0</v>
      </c>
      <c r="H43" s="243">
        <f>COUNTIFS('All Contacts'!AB:AB,"Cycle 1",'All Contacts'!A:A,"Email")+COUNTIFS('All Contacts'!AB:AB,"Cycle 1",'All Contacts'!A:A,"Chat")</f>
        <v>0</v>
      </c>
      <c r="I43" s="237"/>
      <c r="J43" s="244">
        <f>COUNTIFS('All Contacts'!AB:AB,"Cycle 2",'All Contacts'!A:A,"Call")+COUNTIFS('All Contacts'!AB:AB,"Cycle 2",'All Contacts'!A:A,"Chat")</f>
        <v>0</v>
      </c>
      <c r="K43" s="244">
        <f>COUNTIFS('All Contacts'!AB:AB,"Cycle 2",'All Contacts'!A:A,"Email")+COUNTIFS('All Contacts'!AB:AB,"Cycle 2",'All Contacts'!A:A,"Chat")</f>
        <v>0</v>
      </c>
      <c r="L43" s="237"/>
      <c r="M43" s="243">
        <f>COUNTIFS('All Contacts'!AB:AB,"Cycle 3",'All Contacts'!A:A,"Call")+COUNTIFS('All Contacts'!AB:AB,"Cycle 3",'All Contacts'!A:A,"Chat")</f>
        <v>0</v>
      </c>
      <c r="N43" s="243">
        <f>COUNTIFS('All Contacts'!AB:AB,"Cycle 3",'All Contacts'!A:A,"Email")+COUNTIFS('All Contacts'!AB:AB,"Cycle 3",'All Contacts'!A:A,"Chat")</f>
        <v>0</v>
      </c>
      <c r="O43" s="237"/>
      <c r="P43" s="243">
        <f>COUNTIFS('All Contacts'!A:A,"Call")+COUNTIFS('All Contacts'!A:A,"Chat")</f>
        <v>0</v>
      </c>
      <c r="Q43" s="243">
        <f>COUNTIFS('All Contacts'!A:A,"Email")+COUNTIFS('All Contacts'!A:A,"Chat")</f>
        <v>0</v>
      </c>
      <c r="R43" s="237"/>
    </row>
    <row r="44" spans="5:18" x14ac:dyDescent="0.2">
      <c r="E44" s="342" t="s">
        <v>404</v>
      </c>
      <c r="F44" s="201" t="s">
        <v>325</v>
      </c>
      <c r="G44" s="203">
        <f>IFERROR((COUNTIFS('All Contacts'!$T:$T, "Y", 'All Contacts'!$AB:$AB, "Cycle 1",'All Contacts'!$A:$A,"Call")+COUNTIFS('All Contacts'!$T:$T, "Y", 'All Contacts'!$AB:$AB, "Cycle 1",'All Contacts'!$A:$A,"Chat"))/G43,0)</f>
        <v>0</v>
      </c>
      <c r="H44" s="204">
        <f>IFERROR((COUNTIFS('All Contacts'!$T:$T, "", 'All Contacts'!$AB:$AB, "Cycle 1",'All Contacts'!$A:$A,"Call")+COUNTIFS('All Contacts'!$T:$T, "", 'All Contacts'!$AB:$AB, "Cycle 1",'All Contacts'!$A:$A,"Chat"))/G43,0)</f>
        <v>0</v>
      </c>
      <c r="I44" s="220">
        <f>IFERROR((COUNTIFS('All Contacts'!$T:$T, "N/A", 'All Contacts'!$AB:$AB, "Cycle 1",'All Contacts'!$A:$A,"Call")+COUNTIFS('All Contacts'!$T:$T, "N/A", 'All Contacts'!$AB:$AB, "Cycle 1",'All Contacts'!$A:$A,"Chat"))/G43,0)</f>
        <v>0</v>
      </c>
      <c r="J44" s="203">
        <f>IFERROR((COUNTIFS('All Contacts'!$T:$T, "Y", 'All Contacts'!$AB:$AB, "Cycle 2",'All Contacts'!$A:$A,"Call")+COUNTIFS('All Contacts'!$T:$T, "Y", 'All Contacts'!$AB:$AB, "Cycle 2",'All Contacts'!$A:$A,"Chat"))/J43,0)</f>
        <v>0</v>
      </c>
      <c r="K44" s="204">
        <f>IFERROR((COUNTIFS('All Contacts'!$T:$T, "", 'All Contacts'!$AB:$AB, "Cycle 2",'All Contacts'!$A:$A,"Call")+COUNTIFS('All Contacts'!$T:$T, "", 'All Contacts'!$AB:$AB, "Cycle 2",'All Contacts'!$A:$A,"Chat"))/J43,0)</f>
        <v>0</v>
      </c>
      <c r="L44" s="220">
        <f>IFERROR((COUNTIFS('All Contacts'!$T:$T, "N/A", 'All Contacts'!$AB:$AB, "Cycle 2",'All Contacts'!$A:$A,"Call")+COUNTIFS('All Contacts'!$T:$T, "N/A", 'All Contacts'!$AB:$AB, "Cycle 2",'All Contacts'!$A:$A,"Chat"))/J43,0)</f>
        <v>0</v>
      </c>
      <c r="M44" s="203">
        <f>IFERROR((COUNTIFS('All Contacts'!$T:$T, "Y", 'All Contacts'!$AB:$AB, "Cycle 3",'All Contacts'!$A:$A,"Call")+COUNTIFS('All Contacts'!$T:$T, "Y", 'All Contacts'!$AB:$AB, "Cycle 3",'All Contacts'!$A:$A,"Chat"))/M43,0)</f>
        <v>0</v>
      </c>
      <c r="N44" s="204">
        <f>IFERROR((COUNTIFS('All Contacts'!$T:$T, "", 'All Contacts'!$AB:$AB, "Cycle 3",'All Contacts'!$A:$A,"Call")+COUNTIFS('All Contacts'!$T:$T, "", 'All Contacts'!$AB:$AB, "Cycle 3",'All Contacts'!$A:$A,"Chat"))/M43,0)</f>
        <v>0</v>
      </c>
      <c r="O44" s="220">
        <f>IFERROR((COUNTIFS('All Contacts'!$T:$T, "N/A", 'All Contacts'!$AB:$AB, "Cycle 3",'All Contacts'!$A:$A,"Call")+COUNTIFS('All Contacts'!$T:$T, "N/A", 'All Contacts'!$AB:$AB, "Cycle 3",'All Contacts'!$A:$A,"Chat"))/M43,0)</f>
        <v>0</v>
      </c>
      <c r="P44" s="203">
        <f>IFERROR((COUNTIFS('All Contacts'!$T:$T, "Y",'All Contacts'!$A:$A,"Call")+COUNTIFS('All Contacts'!$T:$T, "Y",'All Contacts'!$A:$A,"Chat"))/P43,0)</f>
        <v>0</v>
      </c>
      <c r="Q44" s="204">
        <f>IFERROR((COUNTIFS('All Contacts'!$T:$T, "",'All Contacts'!$A:$A,"Call")+COUNTIFS('All Contacts'!$T:$T, "",'All Contacts'!$A:$A,"Chat"))/P43,0)</f>
        <v>0</v>
      </c>
      <c r="R44" s="220">
        <f>IFERROR((COUNTIFS('All Contacts'!$T:$T, "N/A",'All Contacts'!$A:$A,"Call")+COUNTIFS('All Contacts'!$T:$T, "N/A",'All Contacts'!$A:$A,"Chat"))/P43,0)</f>
        <v>0</v>
      </c>
    </row>
    <row r="45" spans="5:18" x14ac:dyDescent="0.2">
      <c r="E45" s="343"/>
      <c r="F45" s="223" t="s">
        <v>297</v>
      </c>
      <c r="G45" s="224">
        <f>IFERROR(1-H45-I45,0)</f>
        <v>1</v>
      </c>
      <c r="H45" s="222">
        <f>IFERROR((COUNTIFS('All Contacts'!$I:$I, "", 'All Contacts'!$AB:$AB, "Cycle 1")+COUNTIFS('All Contacts'!$S:$S, "", 'All Contacts'!$AB:$AB, "Cycle 1"))/G21,0)</f>
        <v>0</v>
      </c>
      <c r="I45" s="225">
        <f>IFERROR((COUNTIFS('All Contacts'!$I:$I, "N/A", 'All Contacts'!$AB:$AB, "Cycle 1")+COUNTIFS('All Contacts'!$S:$S, "N/A", 'All Contacts'!$AB:$AB, "Cycle 1"))/G21,0)</f>
        <v>0</v>
      </c>
      <c r="J45" s="224">
        <f>IFERROR(1-K45-L45,0)</f>
        <v>1</v>
      </c>
      <c r="K45" s="222">
        <f>IFERROR((COUNTIFS('All Contacts'!$I:$I, "", 'All Contacts'!$AB:$AB, "Cycle 2")+COUNTIFS('All Contacts'!$S:$S, "", 'All Contacts'!$AB:$AB, "Cycle 2"))/J21,0)</f>
        <v>0</v>
      </c>
      <c r="L45" s="225">
        <f>IFERROR((COUNTIFS('All Contacts'!$I:$I, "N/A", 'All Contacts'!$AB:$AB, "Cycle 2")+COUNTIFS('All Contacts'!$S:$S, "N/A", 'All Contacts'!$AB:$AB, "Cycle 2"))/J21,0)</f>
        <v>0</v>
      </c>
      <c r="M45" s="224">
        <f>IFERROR(1-N45-O45,0)</f>
        <v>1</v>
      </c>
      <c r="N45" s="222">
        <f>IFERROR((COUNTIFS('All Contacts'!$I:$I, "", 'All Contacts'!$AB:$AB, "Cycle 3")+COUNTIFS('All Contacts'!$S:$S, "", 'All Contacts'!$AB:$AB, "Cycle 3"))/M21,0)</f>
        <v>0</v>
      </c>
      <c r="O45" s="225">
        <f>IFERROR((COUNTIFS('All Contacts'!$I:$I, "N/A", 'All Contacts'!$AB:$AB, "Cycle 3")+COUNTIFS('All Contacts'!$S:$S, "N/A", 'All Contacts'!$AB:$AB, "Cycle 3"))/M21,0)</f>
        <v>0</v>
      </c>
      <c r="P45" s="224">
        <f>IFERROR(1-Q45-R45,0)</f>
        <v>1</v>
      </c>
      <c r="Q45" s="222">
        <f>IFERROR((COUNTIFS('All Contacts'!$I:$I, "",'All Contacts'!A:A,"&lt;&gt;")+COUNTIFS('All Contacts'!$S:$S, "",'All Contacts'!A:A,"&lt;&gt;"))/P21,0)</f>
        <v>0</v>
      </c>
      <c r="R45" s="225">
        <f>IFERROR((COUNTIFS('All Contacts'!$I:$I, "N/A")+COUNTIFS('All Contacts'!$S:$S, "N/A"))/P21,0)</f>
        <v>0</v>
      </c>
    </row>
    <row r="46" spans="5:18" ht="13.5" thickBot="1" x14ac:dyDescent="0.25">
      <c r="E46" s="344"/>
      <c r="F46" s="202" t="s">
        <v>323</v>
      </c>
      <c r="G46" s="206">
        <f>IFERROR((COUNTIFS('All Contacts'!$U:$U, "Y", 'All Contacts'!$AB:$AB, "Cycle 1",'All Contacts'!$A:$A,"Chat")+COUNTIFS('All Contacts'!$V:$V, "Y", 'All Contacts'!$AB:$AB, "Cycle 1",'All Contacts'!$A:$A,"Email"))/H43,0)</f>
        <v>0</v>
      </c>
      <c r="H46" s="207">
        <f>IFERROR((COUNTIFS('All Contacts'!$U:$U, "", 'All Contacts'!$AB:$AB, "Cycle 1",'All Contacts'!$A:$A,"Chat")+COUNTIFS('All Contacts'!$V:$V, "", 'All Contacts'!$AB:$AB, "Cycle 1",'All Contacts'!$A:$A,"Email"))/H43,0)</f>
        <v>0</v>
      </c>
      <c r="I46" s="221">
        <f>IFERROR((COUNTIFS('All Contacts'!$U:$U, "N/A", 'All Contacts'!$AB:$AB, "Cycle 1",'All Contacts'!$A:$A,"Chat")+COUNTIFS('All Contacts'!$V:$V, "N/A", 'All Contacts'!$AB:$AB, "Cycle 1",'All Contacts'!$A:$A,"Email"))/H43,0)</f>
        <v>0</v>
      </c>
      <c r="J46" s="206">
        <f>IFERROR((COUNTIFS('All Contacts'!$U:$U, "Y", 'All Contacts'!$AB:$AB, "Cycle 2",'All Contacts'!$A:$A,"Chat")+COUNTIFS('All Contacts'!$V:$V, "Y", 'All Contacts'!$AB:$AB, "Cycle 2",'All Contacts'!$A:$A,"Email"))/K43,0)</f>
        <v>0</v>
      </c>
      <c r="K46" s="207">
        <f>IFERROR((COUNTIFS('All Contacts'!$U:$U, "", 'All Contacts'!$AB:$AB, "Cycle 2",'All Contacts'!$A:$A,"Chat")+COUNTIFS('All Contacts'!$V:$V, "", 'All Contacts'!$AB:$AB, "Cycle 2",'All Contacts'!$A:$A,"Email"))/K43,0)</f>
        <v>0</v>
      </c>
      <c r="L46" s="221">
        <f>IFERROR((COUNTIFS('All Contacts'!$U:$U, "N/A", 'All Contacts'!$AB:$AB, "Cycle 2",'All Contacts'!$A:$A,"Chat")+COUNTIFS('All Contacts'!$V:$V, "N/A", 'All Contacts'!$AB:$AB, "Cycle 2",'All Contacts'!$A:$A,"Email"))/K43,0)</f>
        <v>0</v>
      </c>
      <c r="M46" s="206">
        <f>IFERROR((COUNTIFS('All Contacts'!$U:$U, "Y", 'All Contacts'!$AB:$AB, "Cycle 3",'All Contacts'!$A:$A,"Chat")+COUNTIFS('All Contacts'!$V:$V, "Y", 'All Contacts'!$AB:$AB, "Cycle 3",'All Contacts'!$A:$A,"Email"))/N43,0)</f>
        <v>0</v>
      </c>
      <c r="N46" s="207">
        <f>IFERROR((COUNTIFS('All Contacts'!$U:$U, "", 'All Contacts'!$AB:$AB, "Cycle 3",'All Contacts'!$A:$A,"Chat")+COUNTIFS('All Contacts'!$V:$V, "", 'All Contacts'!$AB:$AB, "Cycle 3",'All Contacts'!$A:$A,"Email"))/N43,0)</f>
        <v>0</v>
      </c>
      <c r="O46" s="221">
        <f>IFERROR((COUNTIFS('All Contacts'!$U:$U, "N/A", 'All Contacts'!$AB:$AB, "Cycle 3",'All Contacts'!$A:$A,"Chat")+COUNTIFS('All Contacts'!$V:$V, "N/A", 'All Contacts'!$AB:$AB, "Cycle 3",'All Contacts'!$A:$A,"Email"))/N43,0)</f>
        <v>0</v>
      </c>
      <c r="P46" s="206">
        <f>IFERROR((COUNTIFS('All Contacts'!$U:$U, "Y",'All Contacts'!$A:$A,"Chat")+COUNTIFS('All Contacts'!$V:$V, "Y",'All Contacts'!$A:$A,"Email"))/Q43,0)</f>
        <v>0</v>
      </c>
      <c r="Q46" s="207">
        <f>IFERROR((COUNTIFS('All Contacts'!$U:$U, "",'All Contacts'!$A:$A,"Chat")+COUNTIFS('All Contacts'!$V:$V, "",'All Contacts'!$A:$A,"Email"))/Q43,0)</f>
        <v>0</v>
      </c>
      <c r="R46" s="221">
        <f>IFERROR((COUNTIFS('All Contacts'!$U:$U, "N/A",'All Contacts'!$A:$A,"Chat")+COUNTIFS('All Contacts'!$V:$V, "N/A",'All Contacts'!$A:$A,"Email"))/Q43,0)</f>
        <v>0</v>
      </c>
    </row>
    <row r="47" spans="5:18" x14ac:dyDescent="0.2">
      <c r="E47" s="49">
        <f>COUNTIF('All Contacts'!Y:Y,"LQ")</f>
        <v>0</v>
      </c>
      <c r="G47" s="237">
        <f>COUNTIFS('All Contacts'!AB:AB,"Cycle 1",'All Contacts'!Y:Y,"LQ")</f>
        <v>0</v>
      </c>
      <c r="H47" s="237"/>
      <c r="I47" s="237"/>
      <c r="J47" s="234">
        <f>COUNTIFS('All Contacts'!AB:AB,"Cycle 2",'All Contacts'!Y:Y,"LQ")</f>
        <v>0</v>
      </c>
      <c r="K47" s="234"/>
      <c r="L47" s="242"/>
      <c r="M47" s="237">
        <f>COUNTIFS('All Contacts'!AB:AB,"Cycle 3",'All Contacts'!Y:Y,"LQ")</f>
        <v>0</v>
      </c>
      <c r="N47" s="237"/>
      <c r="O47" s="237"/>
      <c r="P47" s="237">
        <f>COUNTIFS('All Contacts'!Y:Y,"LQ")</f>
        <v>0</v>
      </c>
      <c r="Q47" s="237"/>
      <c r="R47" s="237"/>
    </row>
    <row r="48" spans="5:18" ht="13.5" thickBot="1" x14ac:dyDescent="0.25">
      <c r="G48" s="34" t="str">
        <f>"Total "&amp;G47&amp;" Low Quality Contacts in Cycle 1"</f>
        <v>Total 0 Low Quality Contacts in Cycle 1</v>
      </c>
      <c r="H48" s="237"/>
      <c r="I48" s="237"/>
      <c r="J48" s="34" t="str">
        <f>"Total "&amp;J47&amp;" Low Quality Contacts in Cycle 2"</f>
        <v>Total 0 Low Quality Contacts in Cycle 2</v>
      </c>
      <c r="K48" s="234"/>
      <c r="L48" s="242"/>
      <c r="M48" s="33" t="str">
        <f>"Total "&amp;M47&amp;" Low Quality Contacts in Cycle 3"</f>
        <v>Total 0 Low Quality Contacts in Cycle 3</v>
      </c>
      <c r="N48" s="237"/>
      <c r="O48" s="237"/>
      <c r="P48" s="31" t="str">
        <f>"Total "&amp;COUNTIF('All Contacts'!Y:Y,"LQ")&amp;" Low Quality Contacts"</f>
        <v>Total 0 Low Quality Contacts</v>
      </c>
      <c r="Q48" s="237"/>
      <c r="R48" s="237"/>
    </row>
    <row r="49" spans="5:18" x14ac:dyDescent="0.2">
      <c r="E49" s="351" t="s">
        <v>420</v>
      </c>
      <c r="F49" s="352"/>
      <c r="G49" s="345" t="s">
        <v>415</v>
      </c>
      <c r="H49" s="346"/>
      <c r="I49" s="346"/>
      <c r="J49" s="345" t="s">
        <v>417</v>
      </c>
      <c r="K49" s="346"/>
      <c r="L49" s="346"/>
      <c r="M49" s="345" t="s">
        <v>418</v>
      </c>
      <c r="N49" s="346"/>
      <c r="O49" s="346"/>
      <c r="P49" s="345" t="s">
        <v>433</v>
      </c>
      <c r="Q49" s="346"/>
      <c r="R49" s="346"/>
    </row>
    <row r="50" spans="5:18" ht="13.5" thickBot="1" x14ac:dyDescent="0.25">
      <c r="E50" s="353"/>
      <c r="F50" s="354"/>
      <c r="G50" s="164" t="s">
        <v>129</v>
      </c>
      <c r="H50" s="164" t="s">
        <v>335</v>
      </c>
      <c r="I50" s="164" t="s">
        <v>416</v>
      </c>
      <c r="J50" s="164" t="s">
        <v>129</v>
      </c>
      <c r="K50" s="164" t="s">
        <v>335</v>
      </c>
      <c r="L50" s="164" t="s">
        <v>416</v>
      </c>
      <c r="M50" s="164" t="s">
        <v>129</v>
      </c>
      <c r="N50" s="164" t="s">
        <v>335</v>
      </c>
      <c r="O50" s="164" t="s">
        <v>416</v>
      </c>
      <c r="P50" s="164" t="s">
        <v>129</v>
      </c>
      <c r="Q50" s="164" t="s">
        <v>335</v>
      </c>
      <c r="R50" s="165" t="s">
        <v>416</v>
      </c>
    </row>
    <row r="51" spans="5:18" x14ac:dyDescent="0.2">
      <c r="E51" s="347" t="s">
        <v>397</v>
      </c>
      <c r="F51" s="160" t="s">
        <v>326</v>
      </c>
      <c r="G51" s="209">
        <f>IFERROR(G47-COUNTIFS('All Contacts'!$C:$C, "Y", 'All Contacts'!$AB:$AB, "Cycle 1",'All Contacts'!Y:Y,"LQ")-COUNTIFS('All Contacts'!$D:$D, "Y", 'All Contacts'!$AB:$AB, "Cycle 1",'All Contacts'!Y:Y,"LQ")-COUNTIFS('All Contacts'!$C:$C, "N/A", 'All Contacts'!$AB:$AB, "Cycle 1",'All Contacts'!Y:Y,"LQ")-COUNTIFS('All Contacts'!$D:$D, "N/A", 'All Contacts'!$AB:$AB, "Cycle 1",'All Contacts'!Y:Y,"LQ")/G47,0)</f>
        <v>0</v>
      </c>
      <c r="H51" s="210">
        <f>IFERROR((COUNTIFS('All Contacts'!$C:$C, "Y", 'All Contacts'!$AB:$AB, "Cycle 1",'All Contacts'!Y:Y,"LQ")+COUNTIFS('All Contacts'!$D:$D, "Y", 'All Contacts'!$AB:$AB, "Cycle 1",'All Contacts'!Y:Y,"LQ"))/G47,0)</f>
        <v>0</v>
      </c>
      <c r="I51" s="211">
        <f>IFERROR(COUNTIFS('All Contacts'!$C:$C, "N/A", 'All Contacts'!$AB:$AB, "Cycle 1",'All Contacts'!Y:Y,"LQ")+COUNTIFS('All Contacts'!$D:$D, "N/A", 'All Contacts'!$AB:$AB, "Cycle 1",'All Contacts'!Y:Y,"LQ")/G47,0)</f>
        <v>0</v>
      </c>
      <c r="J51" s="209">
        <f>IFERROR((J47-COUNTIFS('All Contacts'!$C:$C, "Y", 'All Contacts'!$AB:$AB, "Cycle 2",'All Contacts'!Y:Y,"LQ")-COUNTIFS('All Contacts'!$D:$D, "Y", 'All Contacts'!$AB:$AB, "Cycle 2",'All Contacts'!Y:Y,"LQ")-COUNTIFS('All Contacts'!$C:$C, "N/A", 'All Contacts'!$AB:$AB, "Cycle 2",'All Contacts'!Y:Y,"LQ")-COUNTIFS('All Contacts'!$D:$D, "N/A", 'All Contacts'!$AB:$AB, "Cycle 2",'All Contacts'!Y:Y,"LQ"))/J47,0)</f>
        <v>0</v>
      </c>
      <c r="K51" s="210">
        <f>IFERROR((COUNTIFS('All Contacts'!$C:$C, "Y", 'All Contacts'!$AB:$AB, "Cycle 2",'All Contacts'!Y:Y,"LQ")+COUNTIFS('All Contacts'!$D:$D, "Y", 'All Contacts'!$AB:$AB, "Cycle 2",'All Contacts'!Y:Y,"LQ"))/J47,0)</f>
        <v>0</v>
      </c>
      <c r="L51" s="211">
        <f>IFERROR((COUNTIFS('All Contacts'!$C:$C, "N/A", 'All Contacts'!$AB:$AB, "Cycle 2",'All Contacts'!Y:Y,"LQ")+COUNTIFS('All Contacts'!$D:$D, "N/A", 'All Contacts'!$AB:$AB, "Cycle 2",'All Contacts'!Y:Y,"LQ"))/J47,0)</f>
        <v>0</v>
      </c>
      <c r="M51" s="226">
        <f>IFERROR((J47-COUNTIFS('All Contacts'!$C:$C, "Y", 'All Contacts'!$AB:$AB, "Cycle 3",'All Contacts'!Y:Y,"LQ")-COUNTIFS('All Contacts'!$D:$D, "Y", 'All Contacts'!$AB:$AB, "Cycle 3",'All Contacts'!Y:Y,"LQ")-COUNTIFS('All Contacts'!$C:$C, "N/A", 'All Contacts'!$AB:$AB, "Cycle 3",'All Contacts'!Y:Y,"LQ")-COUNTIFS('All Contacts'!$D:$D, "N/A", 'All Contacts'!$AB:$AB, "Cycle 3",'All Contacts'!Y:Y,"LQ"))/J47,0)</f>
        <v>0</v>
      </c>
      <c r="N51" s="210">
        <f>IFERROR((COUNTIFS('All Contacts'!$C:$C, "Y", 'All Contacts'!$AB:$AB, "Cycle 3",'All Contacts'!Y:Y,"LQ")+COUNTIFS('All Contacts'!$D:$D, "Y", 'All Contacts'!$AB:$AB, "Cycle 3",'All Contacts'!Y:Y,"LQ"))/M47,0)</f>
        <v>0</v>
      </c>
      <c r="O51" s="211">
        <f>IFERROR((COUNTIFS('All Contacts'!$C:$C, "N/A", 'All Contacts'!$AB:$AB, "Cycle 3",'All Contacts'!Y:Y,"LQ")+COUNTIFS('All Contacts'!$D:$D, "N/A", 'All Contacts'!$AB:$AB, "Cycle 3",'All Contacts'!Y:Y,"LQ"))/M47,0)</f>
        <v>0</v>
      </c>
      <c r="P51" s="209">
        <f>IFERROR(1-Q51-R51,0)</f>
        <v>1</v>
      </c>
      <c r="Q51" s="210">
        <f>IFERROR((COUNTIFS('All Contacts'!$C:$C, "Y",'All Contacts'!Y:Y,"LQ")+COUNTIFS('All Contacts'!$D:$D, "Y",'All Contacts'!Y:Y,"LQ"))/P47,0)</f>
        <v>0</v>
      </c>
      <c r="R51" s="211">
        <f>IFERROR((COUNTIFS('All Contacts'!$C:$C, "N/A",'All Contacts'!Y:Y,"LQ")+COUNTIFS('All Contacts'!$D:$D, "N/A",'All Contacts'!Y:Y,"LQ"))/P47,0)</f>
        <v>0</v>
      </c>
    </row>
    <row r="52" spans="5:18" x14ac:dyDescent="0.2">
      <c r="E52" s="348"/>
      <c r="F52" s="158" t="s">
        <v>398</v>
      </c>
      <c r="G52" s="212">
        <f>IFERROR(COUNTIFS('All Contacts'!$H:$H, "", 'All Contacts'!$AB:$AB, "Cycle 1",'All Contacts'!Y:Y,"LQ")/G47,0)</f>
        <v>0</v>
      </c>
      <c r="H52" s="213">
        <f>IFERROR(COUNTIFS('All Contacts'!$H:$H, "Y", 'All Contacts'!$AB:$AB, "Cycle 1",'All Contacts'!Y:Y,"LQ")/G47,0)</f>
        <v>0</v>
      </c>
      <c r="I52" s="214">
        <f>IFERROR(COUNTIFS('All Contacts'!$H:$H,"N/A",'All Contacts'!$AB:$AB,"Cycle 1",'All Contacts'!Y:Y,"LQ")/G47,0)</f>
        <v>0</v>
      </c>
      <c r="J52" s="212">
        <f>IFERROR(COUNTIFS('All Contacts'!$H:$H, "", 'All Contacts'!$AB:$AB, "Cycle 2",'All Contacts'!Y:Y,"LQ")/J47,0)</f>
        <v>0</v>
      </c>
      <c r="K52" s="213">
        <f>IFERROR(COUNTIFS('All Contacts'!$H:$H, "Y", 'All Contacts'!$AB:$AB, "Cycle 2",'All Contacts'!Y:Y,"LQ")/J47,0)</f>
        <v>0</v>
      </c>
      <c r="L52" s="215">
        <f>IFERROR(COUNTIFS('All Contacts'!$H:$H, "N/A", 'All Contacts'!$AB:$AB, "Cycle 2",'All Contacts'!Y:Y,"LQ")/J47,0)</f>
        <v>0</v>
      </c>
      <c r="M52" s="212">
        <f>IFERROR(COUNTIFS('All Contacts'!$H:$H, "", 'All Contacts'!$AB:$AB, "Cycle 3",'All Contacts'!Y:Y,"LQ")/M47,0)</f>
        <v>0</v>
      </c>
      <c r="N52" s="213">
        <f>IFERROR(COUNTIFS('All Contacts'!$H:$H, "Y", 'All Contacts'!$AB:$AB, "Cycle 3",'All Contacts'!Y:Y,"LQ")/M47,0)</f>
        <v>0</v>
      </c>
      <c r="O52" s="215">
        <f>IFERROR(COUNTIFS('All Contacts'!$H:$H, "N/A", 'All Contacts'!$AB:$AB, "Cycle 3",'All Contacts'!Y:Y,"LQ")/M47,0)</f>
        <v>0</v>
      </c>
      <c r="P52" s="212">
        <f>IFERROR(1-Q52-R52,0)</f>
        <v>1</v>
      </c>
      <c r="Q52" s="213">
        <f>IFERROR(COUNTIFS('All Contacts'!$H:$H, "Y",'All Contacts'!Y:Y,"LQ")/P47,0)</f>
        <v>0</v>
      </c>
      <c r="R52" s="214">
        <f>IFERROR(COUNTIFS('All Contacts'!$H:$H, "N/A",'All Contacts'!Y:Y,"LQ")/P47,0)</f>
        <v>0</v>
      </c>
    </row>
    <row r="53" spans="5:18" ht="13.5" thickBot="1" x14ac:dyDescent="0.25">
      <c r="E53" s="349"/>
      <c r="F53" s="161" t="s">
        <v>291</v>
      </c>
      <c r="G53" s="216">
        <f>IFERROR(COUNTIFS('All Contacts'!$B:$B, "", 'All Contacts'!$AB:$AB, "Cycle 1",'All Contacts'!Y:Y,"LQ")/G47,0)</f>
        <v>0</v>
      </c>
      <c r="H53" s="217">
        <f>IFERROR(COUNTIFS('All Contacts'!$B:$B, "Y", 'All Contacts'!$AB:$AB, "Cycle 1",'All Contacts'!Y:Y,"LQ")/G47,0)</f>
        <v>0</v>
      </c>
      <c r="I53" s="218">
        <f>IFERROR(COUNTIFS('All Contacts'!$B:$B, "N/A", 'All Contacts'!$AB:$AB, "Cycle 1",'All Contacts'!Y:Y,"LQ")/G47,0)</f>
        <v>0</v>
      </c>
      <c r="J53" s="216">
        <f>IFERROR(COUNTIFS('All Contacts'!$B:$B, "", 'All Contacts'!$AB:$AB, "Cycle 2",'All Contacts'!Y:Y,"LQ")/J47,0)</f>
        <v>0</v>
      </c>
      <c r="K53" s="217">
        <f>IFERROR(COUNTIFS('All Contacts'!$B:$B, "Y", 'All Contacts'!$AB:$AB, "Cycle 2",'All Contacts'!Y:Y,"LQ")/J47,0)</f>
        <v>0</v>
      </c>
      <c r="L53" s="219">
        <f>IFERROR(COUNTIFS('All Contacts'!$B:$B, "N/A", 'All Contacts'!$AB:$AB, "Cycle 2",'All Contacts'!Y:Y,"LQ")/J47,0)</f>
        <v>0</v>
      </c>
      <c r="M53" s="216">
        <f>IFERROR(COUNTIFS('All Contacts'!$B:$B, "", 'All Contacts'!$AB:$AB, "Cycle 3",'All Contacts'!Y:Y,"LQ")/M47,0)</f>
        <v>0</v>
      </c>
      <c r="N53" s="217">
        <f>IFERROR(COUNTIFS('All Contacts'!$B:$B, "Y", 'All Contacts'!$AB:$AB, "Cycle 3",'All Contacts'!Y:Y,"LQ")/M47,0)</f>
        <v>0</v>
      </c>
      <c r="O53" s="219">
        <f>IFERROR(COUNTIFS('All Contacts'!$B:$B, "N/A", 'All Contacts'!$AB:$AB, "Cycle 3",'All Contacts'!Y:Y,"LQ")/M47,0)</f>
        <v>0</v>
      </c>
      <c r="P53" s="216">
        <f>IFERROR(1-Q53-R53,0)</f>
        <v>1</v>
      </c>
      <c r="Q53" s="217">
        <f>IFERROR(COUNTIFS('All Contacts'!$B:$B, "Y",'All Contacts'!Y:Y,"LQ")/P47,0)</f>
        <v>0</v>
      </c>
      <c r="R53" s="218">
        <f>IFERROR(COUNTIFS('All Contacts'!$B:$B, "N/A",'All Contacts'!Y:Y,"LQ")/P47,0)</f>
        <v>0</v>
      </c>
    </row>
    <row r="54" spans="5:18" ht="13.5" thickBot="1" x14ac:dyDescent="0.25">
      <c r="E54" s="12"/>
      <c r="G54" s="30"/>
      <c r="H54" s="30"/>
      <c r="I54" s="156"/>
      <c r="J54" s="30"/>
      <c r="K54" s="149"/>
      <c r="L54" s="155"/>
      <c r="M54" s="148"/>
      <c r="N54" s="148"/>
      <c r="O54" s="148"/>
      <c r="P54" s="30"/>
      <c r="Q54" s="30"/>
      <c r="R54" s="156"/>
    </row>
    <row r="55" spans="5:18" x14ac:dyDescent="0.2">
      <c r="E55" s="342" t="s">
        <v>399</v>
      </c>
      <c r="F55" s="162" t="s">
        <v>312</v>
      </c>
      <c r="G55" s="203">
        <f>IFERROR(COUNTIFS('All Contacts'!$J:$J, "Y", 'All Contacts'!$AB:$AB, "Cycle 1",'All Contacts'!Y:Y,"LQ")/G47,0)</f>
        <v>0</v>
      </c>
      <c r="H55" s="204">
        <f>IFERROR(COUNTIFS('All Contacts'!$J:$J, "", 'All Contacts'!$AB:$AB, "Cycle 1",'All Contacts'!Y:Y,"LQ")/G47,0)</f>
        <v>0</v>
      </c>
      <c r="I55" s="205">
        <f>IFERROR(COUNTIFS('All Contacts'!$J:$J, "N/A", 'All Contacts'!$AB:$AB, "Cycle 1",'All Contacts'!Y:Y,"LQ")/G47,0)</f>
        <v>0</v>
      </c>
      <c r="J55" s="203">
        <f>IFERROR(COUNTIFS('All Contacts'!$J:$J, "Y", 'All Contacts'!$AB:$AB, "Cycle 2",'All Contacts'!Y:Y,"LQ")/J47,0)</f>
        <v>0</v>
      </c>
      <c r="K55" s="204">
        <f>IFERROR(COUNTIFS('All Contacts'!$J:$J, "", 'All Contacts'!$AB:$AB, "Cycle 2",'All Contacts'!Y:Y,"LQ")/J47,0)</f>
        <v>0</v>
      </c>
      <c r="L55" s="205">
        <f>IFERROR(COUNTIFS('All Contacts'!$J:$J, "N/A", 'All Contacts'!$AB:$AB, "Cycle 2",'All Contacts'!Y:Y,"LQ")/J47,0)</f>
        <v>0</v>
      </c>
      <c r="M55" s="203">
        <f>IFERROR(COUNTIFS('All Contacts'!$J:$J, "Y", 'All Contacts'!$AB:$AB, "Cycle 3",'All Contacts'!Y:Y,"LQ")/M47,0)</f>
        <v>0</v>
      </c>
      <c r="N55" s="204">
        <f>IFERROR(COUNTIFS('All Contacts'!$J:$J, "", 'All Contacts'!$AB:$AB, "Cycle 3",'All Contacts'!Y:Y,"LQ")/M47,0)</f>
        <v>0</v>
      </c>
      <c r="O55" s="205">
        <f>IFERROR(COUNTIFS('All Contacts'!$J:$J, "N/A", 'All Contacts'!$AB:$AB, "Cycle 3",'All Contacts'!Y:Y,"LQ")/M47,0)</f>
        <v>0</v>
      </c>
      <c r="P55" s="203">
        <f>IFERROR(COUNTIFS('All Contacts'!$J:$J, "Y",'All Contacts'!Y:Y,"LQ")/P47,0)</f>
        <v>0</v>
      </c>
      <c r="Q55" s="204">
        <f>IFERROR(1-P55-R55,0)</f>
        <v>1</v>
      </c>
      <c r="R55" s="205">
        <f>IFERROR(COUNTIFS('All Contacts'!$J:$J, "N/A",'All Contacts'!Y:Y,"LQ")/P47,0)</f>
        <v>0</v>
      </c>
    </row>
    <row r="56" spans="5:18" ht="13.5" thickBot="1" x14ac:dyDescent="0.25">
      <c r="E56" s="344"/>
      <c r="F56" s="163" t="s">
        <v>314</v>
      </c>
      <c r="G56" s="206">
        <f>IFERROR(COUNTIFS('All Contacts'!$K:$K, "Y", 'All Contacts'!$AB:$AB, "Cycle 1",'All Contacts'!Y:Y,"LQ")/G47,0)</f>
        <v>0</v>
      </c>
      <c r="H56" s="207">
        <f>IFERROR(COUNTIFS('All Contacts'!$K:$K, "", 'All Contacts'!$AB:$AB, "Cycle 1",'All Contacts'!Y:Y,"LQ")/G47,0)</f>
        <v>0</v>
      </c>
      <c r="I56" s="208">
        <f>IFERROR(COUNTIFS('All Contacts'!$K:$K, "N/A", 'All Contacts'!$AB:$AB, "Cycle 1",'All Contacts'!Y:Y,"LQ")/G47,0)</f>
        <v>0</v>
      </c>
      <c r="J56" s="206">
        <f>IFERROR(COUNTIFS('All Contacts'!$K:$K, "Y", 'All Contacts'!$AB:$AB, "Cycle 2",'All Contacts'!Y:Y,"LQ")/J47,0)</f>
        <v>0</v>
      </c>
      <c r="K56" s="207">
        <f>IFERROR(COUNTIFS('All Contacts'!$K:$K, "", 'All Contacts'!$AB:$AB, "Cycle 2",'All Contacts'!Y:Y,"LQ")/J47,0)</f>
        <v>0</v>
      </c>
      <c r="L56" s="208">
        <f>IFERROR(COUNTIFS('All Contacts'!$K:$K, "N/A", 'All Contacts'!$AB:$AB, "Cycle 2",'All Contacts'!Y:Y,"LQ")/J47,0)</f>
        <v>0</v>
      </c>
      <c r="M56" s="206">
        <f>IFERROR(COUNTIFS('All Contacts'!$K:$K, "Y", 'All Contacts'!$AB:$AB, "Cycle 3",'All Contacts'!Y:Y,"LQ")/M47,0)</f>
        <v>0</v>
      </c>
      <c r="N56" s="207">
        <f>IFERROR(COUNTIFS('All Contacts'!$K:$K, "", 'All Contacts'!$AB:$AB, "Cycle 3",'All Contacts'!Y:Y,"LQ")/M47,0)</f>
        <v>0</v>
      </c>
      <c r="O56" s="208">
        <f>IFERROR(COUNTIFS('All Contacts'!$K:$K, "N/A", 'All Contacts'!$AB:$AB, "Cycle 3",'All Contacts'!Y:Y,"LQ")/M47,0)</f>
        <v>0</v>
      </c>
      <c r="P56" s="206">
        <f>IFERROR(COUNTIFS('All Contacts'!$K:$K, "Y",'All Contacts'!Y:Y,"LQ")/P47,0)</f>
        <v>0</v>
      </c>
      <c r="Q56" s="207">
        <f>IFERROR(1-P56-R56,0)</f>
        <v>1</v>
      </c>
      <c r="R56" s="208">
        <f>IFERROR(COUNTIFS('All Contacts'!$K:$K, "N/A",'All Contacts'!Y:Y,"LQ")/P47,0)</f>
        <v>0</v>
      </c>
    </row>
    <row r="57" spans="5:18" ht="13.5" thickBot="1" x14ac:dyDescent="0.25">
      <c r="E57" s="12"/>
      <c r="G57" s="148"/>
      <c r="H57" s="148"/>
      <c r="I57" s="153"/>
      <c r="J57" s="149"/>
      <c r="K57" s="149"/>
      <c r="L57" s="156"/>
      <c r="M57" s="148"/>
      <c r="N57" s="148"/>
      <c r="O57" s="148"/>
      <c r="P57" s="148"/>
      <c r="Q57" s="148"/>
      <c r="R57" s="153"/>
    </row>
    <row r="58" spans="5:18" x14ac:dyDescent="0.2">
      <c r="E58" s="342" t="s">
        <v>400</v>
      </c>
      <c r="F58" s="162" t="s">
        <v>401</v>
      </c>
      <c r="G58" s="203">
        <f>IFERROR(COUNTIFS('All Contacts'!$L:$L, "Y", 'All Contacts'!$AB:$AB, "Cycle 1",'All Contacts'!Y:Y,"LQ")/G47,0)</f>
        <v>0</v>
      </c>
      <c r="H58" s="204">
        <f>IFERROR(COUNTIFS('All Contacts'!$L:$L, "", 'All Contacts'!$AB:$AB, "Cycle 1",'All Contacts'!Y:Y,"LQ")/G47,0)</f>
        <v>0</v>
      </c>
      <c r="I58" s="220">
        <f>IFERROR(COUNTIFS('All Contacts'!$L:$L, "N/A", 'All Contacts'!$AB:$AB, "Cycle 1",'All Contacts'!Y:Y,"LQ")/G47,0)</f>
        <v>0</v>
      </c>
      <c r="J58" s="203">
        <f>IFERROR(COUNTIFS('All Contacts'!$L:$L, "Y", 'All Contacts'!$AB:$AB, "Cycle 2",'All Contacts'!Y:Y,"LQ")/J47,0)</f>
        <v>0</v>
      </c>
      <c r="K58" s="204">
        <f>IFERROR(COUNTIFS('All Contacts'!$L:$L, "", 'All Contacts'!$AB:$AB, "Cycle 2",'All Contacts'!Y:Y,"LQ")/J47,0)</f>
        <v>0</v>
      </c>
      <c r="L58" s="220">
        <f>IFERROR(COUNTIFS('All Contacts'!$L:$L, "N/A", 'All Contacts'!$AB:$AB, "Cycle 2",'All Contacts'!Y:Y,"LQ")/J47,0)</f>
        <v>0</v>
      </c>
      <c r="M58" s="203">
        <f>IFERROR(COUNTIFS('All Contacts'!$L:$L, "Y", 'All Contacts'!$AB:$AB, "Cycle 3",'All Contacts'!Y:Y,"LQ")/M47,0)</f>
        <v>0</v>
      </c>
      <c r="N58" s="204">
        <f>IFERROR(COUNTIFS('All Contacts'!$L:$L, "", 'All Contacts'!$AB:$AB, "Cycle 3",'All Contacts'!Y:Y,"LQ")/M47,0)</f>
        <v>0</v>
      </c>
      <c r="O58" s="220">
        <f>IFERROR(COUNTIFS('All Contacts'!$L:$L, "N/A", 'All Contacts'!$AB:$AB, "Cycle 3",'All Contacts'!Y:Y,"LQ")/M47,0)</f>
        <v>0</v>
      </c>
      <c r="P58" s="203">
        <f>IFERROR(COUNTIFS('All Contacts'!$L:$L, "Y",'All Contacts'!Y:Y,"LQ")/P47,0)</f>
        <v>0</v>
      </c>
      <c r="Q58" s="204">
        <f>IFERROR(1-P58-R58,0)</f>
        <v>1</v>
      </c>
      <c r="R58" s="220">
        <f>IFERROR(COUNTIFS('All Contacts'!$L:$L, "N/A",'All Contacts'!Y:Y,"LQ")/P47,0)</f>
        <v>0</v>
      </c>
    </row>
    <row r="59" spans="5:18" ht="13.5" thickBot="1" x14ac:dyDescent="0.25">
      <c r="E59" s="344"/>
      <c r="F59" s="163" t="s">
        <v>294</v>
      </c>
      <c r="G59" s="206">
        <f>IFERROR(COUNTIFS('All Contacts'!$G:$G, "", 'All Contacts'!$AB:$AB, "Cycle 1",'All Contacts'!Y:Y,"LQ")/G47,0)</f>
        <v>0</v>
      </c>
      <c r="H59" s="207">
        <f>IFERROR(COUNTIFS('All Contacts'!$G:$G, "Y", 'All Contacts'!$AB:$AB, "Cycle 1",'All Contacts'!Y:Y,"LQ")/G47,0)</f>
        <v>0</v>
      </c>
      <c r="I59" s="221">
        <f>IFERROR(COUNTIFS('All Contacts'!$G:$G, "N/A", 'All Contacts'!$AB:$AB, "Cycle 1",'All Contacts'!Y:Y,"LQ")/G47,0)</f>
        <v>0</v>
      </c>
      <c r="J59" s="206">
        <f>IFERROR(COUNTIFS('All Contacts'!$G:$G, "", 'All Contacts'!$AB:$AB, "Cycle 2",'All Contacts'!Y:Y,"LQ")/J47,0)</f>
        <v>0</v>
      </c>
      <c r="K59" s="207">
        <f>IFERROR(COUNTIFS('All Contacts'!$G:$G, "Y", 'All Contacts'!$AB:$AB, "Cycle 2",'All Contacts'!Y:Y,"LQ")/J47,0)</f>
        <v>0</v>
      </c>
      <c r="L59" s="221">
        <f>IFERROR(COUNTIFS('All Contacts'!$G:$G, "N/A", 'All Contacts'!$AB:$AB, "Cycle 2",'All Contacts'!Y:Y,"LQ")/J47,0)</f>
        <v>0</v>
      </c>
      <c r="M59" s="206">
        <f>IFERROR(COUNTIFS('All Contacts'!$G:$G, "", 'All Contacts'!$AB:$AB, "Cycle 3",'All Contacts'!Y:Y,"LQ")/M47,0)</f>
        <v>0</v>
      </c>
      <c r="N59" s="207">
        <f>IFERROR(COUNTIFS('All Contacts'!$G:$G, "Y", 'All Contacts'!$AB:$AB, "Cycle 3",'All Contacts'!Y:Y,"LQ")/M47,0)</f>
        <v>0</v>
      </c>
      <c r="O59" s="221">
        <f>IFERROR(COUNTIFS('All Contacts'!$G:$G, "N/A", 'All Contacts'!$AB:$AB, "Cycle 3",'All Contacts'!Y:Y,"LQ")/M47,0)</f>
        <v>0</v>
      </c>
      <c r="P59" s="206">
        <f>IFERROR(1-Q59-R59,0)</f>
        <v>1</v>
      </c>
      <c r="Q59" s="207">
        <f>IFERROR(COUNTIFS('All Contacts'!$G:$G, "Y",'All Contacts'!Y:Y,"LQ")/P47,0)</f>
        <v>0</v>
      </c>
      <c r="R59" s="221">
        <f>IFERROR(COUNTIFS('All Contacts'!$G:$G, "N/A",'All Contacts'!Y:Y,"LQ")/P47,0)</f>
        <v>0</v>
      </c>
    </row>
    <row r="60" spans="5:18" ht="13.5" thickBot="1" x14ac:dyDescent="0.25">
      <c r="E60" s="12"/>
      <c r="G60" s="148"/>
      <c r="H60" s="148"/>
      <c r="I60" s="153"/>
      <c r="J60" s="149"/>
      <c r="K60" s="149"/>
      <c r="L60" s="153"/>
      <c r="M60" s="148"/>
      <c r="N60" s="148"/>
      <c r="O60" s="148"/>
      <c r="P60" s="148"/>
      <c r="Q60" s="148"/>
      <c r="R60" s="153"/>
    </row>
    <row r="61" spans="5:18" x14ac:dyDescent="0.2">
      <c r="E61" s="342" t="s">
        <v>402</v>
      </c>
      <c r="F61" s="162" t="s">
        <v>306</v>
      </c>
      <c r="G61" s="203">
        <f>IFERROR((G47-(COUNTIFS('All Contacts'!$E:$E, "Y", 'All Contacts'!$AB:$AB, "Cycle 1",'All Contacts'!Y:Y,"LQ")+COUNTIFS('All Contacts'!$F:$F, "Y", 'All Contacts'!$AB:$AB, "Cycle 1",'All Contacts'!Y:Y,"LQ"))-(COUNTIFS('All Contacts'!$E:$E, "N/A", 'All Contacts'!$AB:$AB, "Cycle 1",'All Contacts'!Y:Y,"LQ")+COUNTIFS('All Contacts'!$F:$F, "N/A", 'All Contacts'!$AB:$AB, "Cycle 1",'All Contacts'!Y:Y,"LQ")))/G47,0)</f>
        <v>0</v>
      </c>
      <c r="H61" s="204">
        <f>IFERROR((COUNTIFS('All Contacts'!$E:$E, "Y", 'All Contacts'!$AB:$AB, "Cycle 1",'All Contacts'!Y:Y,"LQ")+COUNTIFS('All Contacts'!$F:$F, "Y", 'All Contacts'!$AB:$AB, "Cycle 1",'All Contacts'!Y:Y,"LQ"))/G47,0)</f>
        <v>0</v>
      </c>
      <c r="I61" s="220">
        <f>IFERROR((COUNTIFS('All Contacts'!$E:$E, "N/A", 'All Contacts'!$AB:$AB, "Cycle 1",'All Contacts'!Y:Y,"LQ")+COUNTIFS('All Contacts'!$F:$F, "N/A", 'All Contacts'!$AB:$AB, "Cycle 1",'All Contacts'!Y:Y,"LQ"))/G47,0)</f>
        <v>0</v>
      </c>
      <c r="J61" s="203">
        <f>IFERROR((J47-(COUNTIFS('All Contacts'!$E:$E, "Y", 'All Contacts'!$AB:$AB, "Cycle 2",'All Contacts'!Y:Y,"LQ")+COUNTIFS('All Contacts'!$F:$F, "Y", 'All Contacts'!$AB:$AB, "Cycle 2",'All Contacts'!Y:Y,"LQ"))-(COUNTIFS('All Contacts'!$E:$E, "N/A", 'All Contacts'!$AB:$AB, "Cycle 2",'All Contacts'!Y:Y,"LQ")+COUNTIFS('All Contacts'!$F:$F, "N/A", 'All Contacts'!$AB:$AB, "Cycle 2",'All Contacts'!Y:Y,"LQ")))/J47,0)</f>
        <v>0</v>
      </c>
      <c r="K61" s="204">
        <f>IFERROR((COUNTIFS('All Contacts'!$E:$E, "Y", 'All Contacts'!$AB:$AB, "Cycle 2",'All Contacts'!Y:Y,"LQ")+COUNTIFS('All Contacts'!$F:$F, "Y", 'All Contacts'!$AB:$AB, "Cycle 2",'All Contacts'!Y:Y,"LQ"))/J47,0)</f>
        <v>0</v>
      </c>
      <c r="L61" s="220">
        <f>IFERROR((COUNTIFS('All Contacts'!$E:$E, "N/A", 'All Contacts'!$AB:$AB, "Cycle 2",'All Contacts'!Y:Y,"LQ")+COUNTIFS('All Contacts'!$F:$F, "N/A", 'All Contacts'!$AB:$AB, "Cycle 2",'All Contacts'!Y:Y,"LQ"))/J47,0)</f>
        <v>0</v>
      </c>
      <c r="M61" s="203">
        <f>IFERROR((M47-(COUNTIFS('All Contacts'!$E:$E, "Y", 'All Contacts'!$AB:$AB, "Cycle 3",'All Contacts'!Y:Y,"LQ")+COUNTIFS('All Contacts'!$F:$F, "Y", 'All Contacts'!$AB:$AB, "Cycle 3",'All Contacts'!Y:Y,"LQ"))-(COUNTIFS('All Contacts'!$E:$E, "N/A", 'All Contacts'!$AB:$AB, "Cycle 3",'All Contacts'!Y:Y,"LQ")+COUNTIFS('All Contacts'!$F:$F, "N/A", 'All Contacts'!$AB:$AB, "Cycle 3",'All Contacts'!Y:Y,"LQ")))/M47,0)</f>
        <v>0</v>
      </c>
      <c r="N61" s="204">
        <f>IFERROR((COUNTIFS('All Contacts'!$E:$E, "Y", 'All Contacts'!$AB:$AB, "Cycle 3",'All Contacts'!Y:Y,"LQ")+COUNTIFS('All Contacts'!$F:$F, "Y", 'All Contacts'!$AB:$AB, "Cycle 3",'All Contacts'!Y:Y,"LQ"))/M47,0)</f>
        <v>0</v>
      </c>
      <c r="O61" s="220">
        <f>IFERROR((COUNTIFS('All Contacts'!$E:$E, "N/A", 'All Contacts'!$AB:$AB, "Cycle 3",'All Contacts'!Y:Y,"LQ")+COUNTIFS('All Contacts'!$F:$F, "N/A", 'All Contacts'!$AB:$AB, "Cycle 3",'All Contacts'!Y:Y,"LQ"))/M47,0)</f>
        <v>0</v>
      </c>
      <c r="P61" s="203">
        <f>IFERROR(1-Q61-R61,0)</f>
        <v>1</v>
      </c>
      <c r="Q61" s="204">
        <f>IFERROR((COUNTIFS('All Contacts'!$E:$E, "Y",'All Contacts'!Y:Y,"LQ")+COUNTIFS('All Contacts'!$F:$F, "Y",'All Contacts'!Y:Y,"LQ"))/P47,0)</f>
        <v>0</v>
      </c>
      <c r="R61" s="220">
        <f>IFERROR((COUNTIFS('All Contacts'!$E:$E, "N/A",'All Contacts'!Y:Y,"LQ")+COUNTIFS('All Contacts'!$F:$F, "N/A",'All Contacts'!Y:Y,"LQ"))/P47,0)</f>
        <v>0</v>
      </c>
    </row>
    <row r="62" spans="5:18" x14ac:dyDescent="0.2">
      <c r="E62" s="343"/>
      <c r="F62" s="159" t="s">
        <v>310</v>
      </c>
      <c r="G62" s="224">
        <f>IFERROR(COUNTIFS('All Contacts'!$M:$M, "Y", 'All Contacts'!$AB:$AB, "Cycle 1",'All Contacts'!Y:Y,"LQ")/G47,0)</f>
        <v>0</v>
      </c>
      <c r="H62" s="222">
        <f>IFERROR(COUNTIFS('All Contacts'!$M:$M, "", 'All Contacts'!$AB:$AB, "Cycle 1",'All Contacts'!Y:Y,"LQ")/G47,0)</f>
        <v>0</v>
      </c>
      <c r="I62" s="225">
        <f>IFERROR(COUNTIFS('All Contacts'!$M:$M, "n/a", 'All Contacts'!$AB:$AB, "Cycle 1",'All Contacts'!Y:Y,"LQ")/G47,0)</f>
        <v>0</v>
      </c>
      <c r="J62" s="224">
        <f>IFERROR(COUNTIFS('All Contacts'!$M:$M, "Y", 'All Contacts'!$AB:$AB, "Cycle 2",'All Contacts'!Y:Y,"LQ")/J47,0)</f>
        <v>0</v>
      </c>
      <c r="K62" s="222">
        <f>IFERROR(COUNTIFS('All Contacts'!$M:$M, "", 'All Contacts'!$AB:$AB, "Cycle 2",'All Contacts'!Y:Y,"LQ")/J47,0)</f>
        <v>0</v>
      </c>
      <c r="L62" s="225">
        <f>IFERROR(COUNTIFS('All Contacts'!$M:$M, "n/a", 'All Contacts'!$AB:$AB, "Cycle 2",'All Contacts'!Y:Y,"LQ")/J47,0)</f>
        <v>0</v>
      </c>
      <c r="M62" s="224">
        <f>IFERROR(COUNTIFS('All Contacts'!$M:$M, "Y", 'All Contacts'!$AB:$AB, "Cycle 3",'All Contacts'!Y:Y,"LQ")/M47,0)</f>
        <v>0</v>
      </c>
      <c r="N62" s="222">
        <f>IFERROR(COUNTIFS('All Contacts'!$M:$M, "", 'All Contacts'!$AB:$AB, "Cycle 3",'All Contacts'!Y:Y,"LQ")/M47,0)</f>
        <v>0</v>
      </c>
      <c r="O62" s="225">
        <f>IFERROR(COUNTIFS('All Contacts'!$M:$M, "n/a", 'All Contacts'!$AB:$AB, "Cycle 3",'All Contacts'!Y:Y,"LQ")/M47,0)</f>
        <v>0</v>
      </c>
      <c r="P62" s="224">
        <f>IFERROR(COUNTIFS('All Contacts'!$M:$M, "Y",'All Contacts'!Y:Y,"LQ")/P47,0)</f>
        <v>0</v>
      </c>
      <c r="Q62" s="222">
        <f>IFERROR(1-P62-R62,0)</f>
        <v>1</v>
      </c>
      <c r="R62" s="225">
        <f>IFERROR(COUNTIFS('All Contacts'!$M:$M, "n/a",'All Contacts'!Y:Y,"LQ")/P47,0)</f>
        <v>0</v>
      </c>
    </row>
    <row r="63" spans="5:18" x14ac:dyDescent="0.2">
      <c r="E63" s="343"/>
      <c r="F63" s="159" t="s">
        <v>318</v>
      </c>
      <c r="G63" s="224">
        <f>IFERROR(COUNTIFS('All Contacts'!$N:$N, "Y", 'All Contacts'!$AB:$AB, "Cycle 1",'All Contacts'!Y:Y,"LQ")/G47,0)</f>
        <v>0</v>
      </c>
      <c r="H63" s="222">
        <f>IFERROR(COUNTIFS('All Contacts'!$N:$N, "", 'All Contacts'!$AB:$AB, "Cycle 1",'All Contacts'!Y:Y,"LQ")/G47,0)</f>
        <v>0</v>
      </c>
      <c r="I63" s="225">
        <f>IFERROR(COUNTIFS('All Contacts'!$N:$N, "N/A", 'All Contacts'!$AB:$AB, "Cycle 1",'All Contacts'!Y:Y,"LQ")/G47,0)</f>
        <v>0</v>
      </c>
      <c r="J63" s="224">
        <f>IFERROR(COUNTIFS('All Contacts'!$N:$N, "Y", 'All Contacts'!$AB:$AB, "Cycle 2",'All Contacts'!Y:Y,"LQ")/J47,0)</f>
        <v>0</v>
      </c>
      <c r="K63" s="222">
        <f>IFERROR(COUNTIFS('All Contacts'!$N:$N, "", 'All Contacts'!$AB:$AB, "Cycle 2",'All Contacts'!Y:Y,"LQ")/J47,0)</f>
        <v>0</v>
      </c>
      <c r="L63" s="225">
        <f>IFERROR(COUNTIFS('All Contacts'!$N:$N, "N/A", 'All Contacts'!$AB:$AB, "Cycle 2",'All Contacts'!Y:Y,"LQ")/J47,0)</f>
        <v>0</v>
      </c>
      <c r="M63" s="224">
        <f>IFERROR(COUNTIFS('All Contacts'!$N:$N, "Y", 'All Contacts'!$AB:$AB, "Cycle 3",'All Contacts'!Y:Y,"LQ")/M47,0)</f>
        <v>0</v>
      </c>
      <c r="N63" s="222">
        <f>IFERROR(COUNTIFS('All Contacts'!$N:$N, "", 'All Contacts'!$AB:$AB, "Cycle 3",'All Contacts'!Y:Y,"LQ")/M47,0)</f>
        <v>0</v>
      </c>
      <c r="O63" s="225">
        <f>IFERROR(COUNTIFS('All Contacts'!$N:$N, "N/A", 'All Contacts'!$AB:$AB, "Cycle 3",'All Contacts'!Y:Y,"LQ")/M47,0)</f>
        <v>0</v>
      </c>
      <c r="P63" s="224">
        <f>IFERROR(COUNTIFS('All Contacts'!$N:$N, "Y",'All Contacts'!Y:Y,"LQ")/P47,0)</f>
        <v>0</v>
      </c>
      <c r="Q63" s="222">
        <f>IFERROR(1-P63-R63,0)</f>
        <v>1</v>
      </c>
      <c r="R63" s="225">
        <f>IFERROR(COUNTIFS('All Contacts'!$N:$N, "N/A",'All Contacts'!Y:Y,"LQ")/P47,0)</f>
        <v>0</v>
      </c>
    </row>
    <row r="64" spans="5:18" ht="13.5" thickBot="1" x14ac:dyDescent="0.25">
      <c r="E64" s="344"/>
      <c r="F64" s="163" t="s">
        <v>322</v>
      </c>
      <c r="G64" s="206">
        <f>IFERROR(COUNTIFS('All Contacts'!$O:$O, "Y", 'All Contacts'!$AB:$AB, "Cycle 1",'All Contacts'!Y:Y,"LQ")/G47,0)</f>
        <v>0</v>
      </c>
      <c r="H64" s="207">
        <f>IFERROR(COUNTIFS('All Contacts'!$O:$O, "", 'All Contacts'!$AB:$AB, "Cycle 1",'All Contacts'!Y:Y,"LQ")/G47,0)</f>
        <v>0</v>
      </c>
      <c r="I64" s="221">
        <f>IFERROR(COUNTIFS('All Contacts'!$O:$O, "N/A", 'All Contacts'!$AB:$AB, "Cycle 1",'All Contacts'!Y:Y,"LQ")/G47,0)</f>
        <v>0</v>
      </c>
      <c r="J64" s="206">
        <f>IFERROR(COUNTIFS('All Contacts'!$O:$O, "Y", 'All Contacts'!$AB:$AB, "Cycle 2",'All Contacts'!Y:Y,"LQ")/J47,0)</f>
        <v>0</v>
      </c>
      <c r="K64" s="207">
        <f>IFERROR(COUNTIFS('All Contacts'!$O:$O, "", 'All Contacts'!$AB:$AB, "Cycle 2",'All Contacts'!Y:Y,"LQ")/J47,0)</f>
        <v>0</v>
      </c>
      <c r="L64" s="221">
        <f>IFERROR(COUNTIFS('All Contacts'!$O:$O, "N/A", 'All Contacts'!$AB:$AB, "Cycle 2",'All Contacts'!Y:Y,"LQ")/J47,0)</f>
        <v>0</v>
      </c>
      <c r="M64" s="206">
        <f>IFERROR(COUNTIFS('All Contacts'!$O:$O, "Y", 'All Contacts'!$AB:$AB, "Cycle 3",'All Contacts'!Y:Y,"LQ")/M47,0)</f>
        <v>0</v>
      </c>
      <c r="N64" s="207">
        <f>IFERROR(COUNTIFS('All Contacts'!$O:$O, "", 'All Contacts'!$AB:$AB, "Cycle 3",'All Contacts'!Y:Y,"LQ")/M47,0)</f>
        <v>0</v>
      </c>
      <c r="O64" s="221">
        <f>IFERROR(COUNTIFS('All Contacts'!$O:$O, "N/A", 'All Contacts'!$AB:$AB, "Cycle 3",'All Contacts'!Y:Y,"LQ")/M47,0)</f>
        <v>0</v>
      </c>
      <c r="P64" s="206">
        <f>IFERROR(COUNTIFS('All Contacts'!$O:$O, "Y",'All Contacts'!Y:Y,"LQ")/P47,0)</f>
        <v>0</v>
      </c>
      <c r="Q64" s="207">
        <f>IFERROR(1-P64-R64,0)</f>
        <v>1</v>
      </c>
      <c r="R64" s="221">
        <f>IFERROR(COUNTIFS('All Contacts'!$O:$O, "N/A",'All Contacts'!Y:Y,"LQ")/P47,0)</f>
        <v>0</v>
      </c>
    </row>
    <row r="65" spans="5:28" ht="13.5" thickBot="1" x14ac:dyDescent="0.25">
      <c r="E65" s="12"/>
      <c r="G65" s="148"/>
      <c r="H65" s="148"/>
      <c r="I65" s="153"/>
      <c r="J65" s="149"/>
      <c r="K65" s="149"/>
      <c r="L65" s="153"/>
      <c r="M65" s="148"/>
      <c r="N65" s="148"/>
      <c r="O65" s="148"/>
      <c r="P65" s="148"/>
      <c r="Q65" s="148"/>
      <c r="R65" s="153"/>
    </row>
    <row r="66" spans="5:28" x14ac:dyDescent="0.2">
      <c r="E66" s="342" t="s">
        <v>403</v>
      </c>
      <c r="F66" s="162" t="s">
        <v>319</v>
      </c>
      <c r="G66" s="203">
        <f>IFERROR(COUNTIFS('All Contacts'!$P:$P, "Y", 'All Contacts'!$AB:$AB, "Cycle 1",'All Contacts'!Y:Y,"LQ")/G47,0)</f>
        <v>0</v>
      </c>
      <c r="H66" s="204">
        <f>IFERROR(COUNTIFS('All Contacts'!$P:$P, "", 'All Contacts'!$AB:$AB, "Cycle 1",'All Contacts'!Y:Y,"LQ")/G47,0)</f>
        <v>0</v>
      </c>
      <c r="I66" s="220">
        <f>IFERROR(COUNTIFS('All Contacts'!$P:$P, "N/A", 'All Contacts'!$AB:$AB, "Cycle 1",'All Contacts'!Y:Y,"LQ")/G47,0)</f>
        <v>0</v>
      </c>
      <c r="J66" s="203">
        <f>IFERROR(COUNTIFS('All Contacts'!$P:$P, "Y", 'All Contacts'!$AB:$AB, "Cycle 2",'All Contacts'!Y:Y,"LQ")/J47,0)</f>
        <v>0</v>
      </c>
      <c r="K66" s="204">
        <f>IFERROR(COUNTIFS('All Contacts'!$P:$P, "", 'All Contacts'!$AB:$AB, "Cycle 2")/J47,0)</f>
        <v>0</v>
      </c>
      <c r="L66" s="220">
        <f>IFERROR(COUNTIFS('All Contacts'!$P:$P, "N/A", 'All Contacts'!$AB:$AB, "Cycle 2")/J47,0)</f>
        <v>0</v>
      </c>
      <c r="M66" s="203">
        <f>IFERROR(COUNTIFS('All Contacts'!$P:$P, "Y", 'All Contacts'!$AB:$AB, "Cycle 3",'All Contacts'!Y:Y,"LQ")/M47,0)</f>
        <v>0</v>
      </c>
      <c r="N66" s="204">
        <f>IFERROR(COUNTIFS('All Contacts'!$P:$P, "", 'All Contacts'!$AB:$AB, "Cycle 3",'All Contacts'!Y:Y,"LQ")/M47,0)</f>
        <v>0</v>
      </c>
      <c r="O66" s="220">
        <f>IFERROR(COUNTIFS('All Contacts'!$P:$P, "N/A", 'All Contacts'!$AB:$AB, "Cycle 3",'All Contacts'!Y:Y,"LQ")/M47,0)</f>
        <v>0</v>
      </c>
      <c r="P66" s="203">
        <f>IFERROR(COUNTIFS('All Contacts'!$P:$P, "Y",'All Contacts'!Y:Y,"LQ")/P47,0)</f>
        <v>0</v>
      </c>
      <c r="Q66" s="204">
        <f>IFERROR(1-P66-R66,0)</f>
        <v>1</v>
      </c>
      <c r="R66" s="220">
        <f>IFERROR(COUNTIFS('All Contacts'!$P:$P, "N/A",'All Contacts'!Y:Y,"LQ")/P47,0)</f>
        <v>0</v>
      </c>
    </row>
    <row r="67" spans="5:28" x14ac:dyDescent="0.2">
      <c r="E67" s="343"/>
      <c r="F67" s="159" t="s">
        <v>320</v>
      </c>
      <c r="G67" s="224">
        <f>IFERROR(COUNTIFS('All Contacts'!$R:$R, "Y", 'All Contacts'!$AB:$AB, "Cycle 1",'All Contacts'!Y:Y,"LQ")/G47,0)</f>
        <v>0</v>
      </c>
      <c r="H67" s="222">
        <f>IFERROR(COUNTIFS('All Contacts'!$R:$R, "", 'All Contacts'!$AB:$AB, "Cycle 1",'All Contacts'!Y:Y,"LQ")/G47,0)</f>
        <v>0</v>
      </c>
      <c r="I67" s="225">
        <f>IFERROR(COUNTIFS('All Contacts'!$R:$R, "N/A", 'All Contacts'!$AB:$AB, "Cycle 1",'All Contacts'!Y:Y,"LQ")/G47,0)</f>
        <v>0</v>
      </c>
      <c r="J67" s="224">
        <f>IFERROR(COUNTIFS('All Contacts'!$R:$R, "Y", 'All Contacts'!$AB:$AB, "Cycle 2",'All Contacts'!Y:Y,"LQ")/J47,0)</f>
        <v>0</v>
      </c>
      <c r="K67" s="222">
        <f>IFERROR(COUNTIFS('All Contacts'!$R:$R, "", 'All Contacts'!$AB:$AB, "Cycle 2",'All Contacts'!Y:Y,"LQ")/J47,0)</f>
        <v>0</v>
      </c>
      <c r="L67" s="225">
        <f>IFERROR(COUNTIFS('All Contacts'!$R:$R, "N/A", 'All Contacts'!$AB:$AB, "Cycle 2",'All Contacts'!Y:Y,"LQ")/J47,0)</f>
        <v>0</v>
      </c>
      <c r="M67" s="224">
        <f>IFERROR(COUNTIFS('All Contacts'!$R:$R, "Y", 'All Contacts'!$AB:$AB, "Cycle 3",'All Contacts'!Y:Y,"LQ")/M47,0)</f>
        <v>0</v>
      </c>
      <c r="N67" s="222">
        <f>IFERROR(COUNTIFS('All Contacts'!$R:$R, "", 'All Contacts'!$AB:$AB, "Cycle 3",'All Contacts'!Y:Y,"LQ")/M47,0)</f>
        <v>0</v>
      </c>
      <c r="O67" s="225">
        <f>IFERROR(COUNTIFS('All Contacts'!$R:$R, "N/A", 'All Contacts'!$AB:$AB, "Cycle 3",'All Contacts'!Y:Y,"LQ")/M47,0)</f>
        <v>0</v>
      </c>
      <c r="P67" s="224">
        <f>IFERROR(COUNTIFS('All Contacts'!$R:$R, "Y",'All Contacts'!Y:Y,"LQ")/P47,0)</f>
        <v>0</v>
      </c>
      <c r="Q67" s="222">
        <f>IFERROR(1-P67-R67,0)</f>
        <v>1</v>
      </c>
      <c r="R67" s="225">
        <f>IFERROR(COUNTIFS('All Contacts'!$R:$R, "N/A",'All Contacts'!Y:Y,"LQ")/P47,0)</f>
        <v>0</v>
      </c>
      <c r="S67" s="27"/>
    </row>
    <row r="68" spans="5:28" ht="13.5" thickBot="1" x14ac:dyDescent="0.25">
      <c r="E68" s="344"/>
      <c r="F68" s="163" t="s">
        <v>321</v>
      </c>
      <c r="G68" s="206">
        <f>IFERROR(COUNTIFS('All Contacts'!$Q:$Q, "Y", 'All Contacts'!$AB:$AB, "Cycle 1",'All Contacts'!Y:Y,"LQ")/G47,0)</f>
        <v>0</v>
      </c>
      <c r="H68" s="207">
        <f>IFERROR(COUNTIFS('All Contacts'!$Q:$Q, "", 'All Contacts'!$AB:$AB, "Cycle 1",'All Contacts'!Y:Y,"LQ")/G47,0)</f>
        <v>0</v>
      </c>
      <c r="I68" s="221">
        <f>IFERROR(COUNTIFS('All Contacts'!$Q:$Q, "N/A", 'All Contacts'!$AB:$AB, "Cycle 1",'All Contacts'!Y:Y,"LQ")/G47,0)</f>
        <v>0</v>
      </c>
      <c r="J68" s="206">
        <f>IFERROR(COUNTIFS('All Contacts'!$Q:$Q, "Y", 'All Contacts'!$AB:$AB, "Cycle 2",'All Contacts'!Y:Y,"LQ")/J47,0)</f>
        <v>0</v>
      </c>
      <c r="K68" s="207">
        <f>IFERROR(COUNTIFS('All Contacts'!$Q:$Q, "", 'All Contacts'!$AB:$AB, "Cycle 2",'All Contacts'!Y:Y,"LQ")/J47,0)</f>
        <v>0</v>
      </c>
      <c r="L68" s="221">
        <f>IFERROR(COUNTIFS('All Contacts'!$Q:$Q, "N/A", 'All Contacts'!$AB:$AB, "Cycle 2",'All Contacts'!Y:Y,"LQ")/J47,0)</f>
        <v>0</v>
      </c>
      <c r="M68" s="206">
        <f>IFERROR(COUNTIFS('All Contacts'!$Q:$Q, "Y", 'All Contacts'!$AB:$AB, "Cycle 3",'All Contacts'!Y:Y,"LQ")/M47,0)</f>
        <v>0</v>
      </c>
      <c r="N68" s="207">
        <f>IFERROR(COUNTIFS('All Contacts'!$Q:$Q, "", 'All Contacts'!$AB:$AB, "Cycle 3",'All Contacts'!Y:Y,"LQ")/M47,0)</f>
        <v>0</v>
      </c>
      <c r="O68" s="221">
        <f>IFERROR(COUNTIFS('All Contacts'!$Q:$Q, "N/A", 'All Contacts'!$AB:$AB, "Cycle 3",'All Contacts'!Y:Y,"LQ")/M47,0)</f>
        <v>0</v>
      </c>
      <c r="P68" s="206">
        <f>IFERROR(COUNTIFS('All Contacts'!$Q:$Q, "Y",'All Contacts'!Y:Y,"LQ")/P47,0)</f>
        <v>0</v>
      </c>
      <c r="Q68" s="207">
        <f>IFERROR(1-P68-R68,0)</f>
        <v>1</v>
      </c>
      <c r="R68" s="221">
        <f>IFERROR(COUNTIFS('All Contacts'!$Q:$Q, "N/A",'All Contacts'!Y:Y,"LQ")/P47,0)</f>
        <v>0</v>
      </c>
      <c r="S68" s="28"/>
    </row>
    <row r="69" spans="5:28" ht="13.5" thickBot="1" x14ac:dyDescent="0.25">
      <c r="E69" s="12"/>
      <c r="G69" s="243">
        <f>COUNTIFS('All Contacts'!AB:AB,"Cycle 1",'All Contacts'!A:A,"Call",'All Contacts'!Y:Y,"LQ")+COUNTIFS('All Contacts'!AB:AB,"Cycle 1",'All Contacts'!A:A,"Chat",'All Contacts'!Y:Y,"LQ")</f>
        <v>0</v>
      </c>
      <c r="H69" s="243">
        <f>COUNTIFS('All Contacts'!AB:AB,"Cycle 1",'All Contacts'!A:A,"Email",'All Contacts'!Y:Y,"LQ")+COUNTIFS('All Contacts'!AB:AB,"Cycle 1",'All Contacts'!A:A,"Chat",'All Contacts'!Y:Y,"LQ")</f>
        <v>0</v>
      </c>
      <c r="I69" s="237"/>
      <c r="J69" s="244">
        <f>COUNTIFS('All Contacts'!AB:AB,"Cycle 2",'All Contacts'!A:A,"Call",'All Contacts'!Y:Y,"LQ")+COUNTIFS('All Contacts'!AB:AB,"Cycle 2",'All Contacts'!A:A,"Chat",'All Contacts'!Y:Y,"LQ")</f>
        <v>0</v>
      </c>
      <c r="K69" s="244">
        <f>COUNTIFS('All Contacts'!AB:AB,"Cycle 2",'All Contacts'!A:A,"Email",'All Contacts'!Y:Y,"LQ")+COUNTIFS('All Contacts'!AB:AB,"Cycle 2",'All Contacts'!A:A,"Chat",'All Contacts'!Y:Y,"LQ")</f>
        <v>0</v>
      </c>
      <c r="L69" s="237"/>
      <c r="M69" s="243">
        <f>COUNTIFS('All Contacts'!AB:AB,"Cycle 3",'All Contacts'!A:A,"Call",'All Contacts'!Y:Y,"LQ")+COUNTIFS('All Contacts'!AB:AB,"Cycle 3",'All Contacts'!A:A,"Chat",'All Contacts'!Y:Y,"LQ")</f>
        <v>0</v>
      </c>
      <c r="N69" s="243">
        <f>COUNTIFS('All Contacts'!AB:AB,"Cycle 3",'All Contacts'!A:A,"Email",'All Contacts'!Y:Y,"LQ")+COUNTIFS('All Contacts'!AB:AB,"Cycle 3",'All Contacts'!A:A,"Chat",'All Contacts'!Y:Y,"LQ")</f>
        <v>0</v>
      </c>
      <c r="O69" s="237"/>
      <c r="P69" s="243">
        <f>COUNTIFS('All Contacts'!A:A,"Call",'All Contacts'!Y:Y,"LQ")+COUNTIFS('All Contacts'!A:A,"Chat",'All Contacts'!Y:Y,"LQ")</f>
        <v>0</v>
      </c>
      <c r="Q69" s="243">
        <f>COUNTIFS('All Contacts'!A:A,"Email",'All Contacts'!Y:Y,"LQ")+COUNTIFS('All Contacts'!A:A,"Chat",'All Contacts'!Y:Y,"LQ")</f>
        <v>0</v>
      </c>
      <c r="R69" s="237"/>
      <c r="S69" s="30"/>
    </row>
    <row r="70" spans="5:28" x14ac:dyDescent="0.2">
      <c r="E70" s="342" t="s">
        <v>404</v>
      </c>
      <c r="F70" s="193" t="s">
        <v>325</v>
      </c>
      <c r="G70" s="203">
        <f>IFERROR((COUNTIFS('All Contacts'!$T:$T, "Y", 'All Contacts'!$AB:$AB, "Cycle 1",'All Contacts'!$A:$A,"Call",'All Contacts'!Y:Y,"LQ")+COUNTIFS('All Contacts'!$T:$T, "Y", 'All Contacts'!$AB:$AB, "Cycle 1",'All Contacts'!$A:$A,"Chat",'All Contacts'!Y:Y,"LQ"))/G69,0)</f>
        <v>0</v>
      </c>
      <c r="H70" s="204">
        <f>IFERROR((COUNTIFS('All Contacts'!$T:$T, "", 'All Contacts'!$AB:$AB, "Cycle 1",'All Contacts'!$A:$A,"Call",'All Contacts'!Y:Y,"LQ")+COUNTIFS('All Contacts'!$T:$T, "", 'All Contacts'!$AB:$AB, "Cycle 1",'All Contacts'!$A:$A,"Chat",'All Contacts'!Y:Y,"LQ"))/G69,0)</f>
        <v>0</v>
      </c>
      <c r="I70" s="220">
        <f>IFERROR((COUNTIFS('All Contacts'!$T:$T, "N/A", 'All Contacts'!$AB:$AB, "Cycle 1",'All Contacts'!$A:$A,"Call",'All Contacts'!Y:Y,"LQ")+COUNTIFS('All Contacts'!$T:$T, "N/A", 'All Contacts'!$AB:$AB, "Cycle 1",'All Contacts'!$A:$A,"Chat",'All Contacts'!Y:Y,"LQ"))/G69,0)</f>
        <v>0</v>
      </c>
      <c r="J70" s="203">
        <f>IFERROR((COUNTIFS('All Contacts'!$T:$T, "Y", 'All Contacts'!$AB:$AB, "Cycle 2",'All Contacts'!$A:$A,"Call",'All Contacts'!Y:Y,"LQ")+COUNTIFS('All Contacts'!$T:$T, "Y", 'All Contacts'!$AB:$AB, "Cycle 2",'All Contacts'!$A:$A,"Chat",'All Contacts'!Y:Y,"LQ"))/J69,0)</f>
        <v>0</v>
      </c>
      <c r="K70" s="204">
        <f>IFERROR((COUNTIFS('All Contacts'!$T:$T, "", 'All Contacts'!$AB:$AB, "Cycle 2",'All Contacts'!$A:$A,"Call",'All Contacts'!Y:Y,"LQ")+COUNTIFS('All Contacts'!$T:$T, "", 'All Contacts'!$AB:$AB, "Cycle 2",'All Contacts'!$A:$A,"Chat",'All Contacts'!Y:Y,"LQ"))/J69,0)</f>
        <v>0</v>
      </c>
      <c r="L70" s="220">
        <f>IFERROR((COUNTIFS('All Contacts'!$T:$T, "N/A", 'All Contacts'!$AB:$AB, "Cycle 2",'All Contacts'!$A:$A,"Call")+COUNTIFS('All Contacts'!$T:$T, "N/A", 'All Contacts'!$AB:$AB, "Cycle 2",'All Contacts'!$A:$A,"Chat"))/J69,0)</f>
        <v>0</v>
      </c>
      <c r="M70" s="203">
        <f>IFERROR((COUNTIFS('All Contacts'!$T:$T, "Y", 'All Contacts'!$AB:$AB, "Cycle 3",'All Contacts'!$A:$A,"Call",'All Contacts'!Y:Y,"LQ")+COUNTIFS('All Contacts'!$T:$T, "Y", 'All Contacts'!$AB:$AB, "Cycle 3",'All Contacts'!$A:$A,"Chat",'All Contacts'!Y:Y,"LQ"))/M69,0)</f>
        <v>0</v>
      </c>
      <c r="N70" s="204">
        <f>IFERROR((COUNTIFS('All Contacts'!$T:$T, "", 'All Contacts'!$AB:$AB, "Cycle 3",'All Contacts'!$A:$A,"Call",'All Contacts'!Y:Y,"LQ")+COUNTIFS('All Contacts'!$T:$T, "", 'All Contacts'!$AB:$AB, "Cycle 3",'All Contacts'!$A:$A,"Chat",'All Contacts'!Y:Y,"LQ"))/M69,0)</f>
        <v>0</v>
      </c>
      <c r="O70" s="220">
        <f>IFERROR((COUNTIFS('All Contacts'!$T:$T, "N/A", 'All Contacts'!$AB:$AB, "Cycle 3",'All Contacts'!$A:$A,"Call",'All Contacts'!Y:Y,"LQ")+COUNTIFS('All Contacts'!$T:$T, "N/A", 'All Contacts'!$AB:$AB, "Cycle 3",'All Contacts'!$A:$A,"Chat",'All Contacts'!Y:Y,"LQ"))/M69,0)</f>
        <v>0</v>
      </c>
      <c r="P70" s="203">
        <f>IFERROR((COUNTIFS('All Contacts'!$T:$T, "Y",'All Contacts'!$A:$A,"Call",'All Contacts'!Y:Y,"LQ")+COUNTIFS('All Contacts'!$T:$T, "Y",'All Contacts'!$A:$A,"Chat",'All Contacts'!Y:Y,"LQ"))/P69,0)</f>
        <v>0</v>
      </c>
      <c r="Q70" s="204">
        <f>IFERROR((COUNTIFS('All Contacts'!$T:$T, "",'All Contacts'!$A:$A,"Call",'All Contacts'!Y:Y,"LQ")+COUNTIFS('All Contacts'!$T:$T, "",'All Contacts'!$A:$A,"Chat",'All Contacts'!Y:Y,"LQ"))/P69,0)</f>
        <v>0</v>
      </c>
      <c r="R70" s="220">
        <f>IFERROR((COUNTIFS('All Contacts'!$T:$T, "N/A",'All Contacts'!$A:$A,"Call",'All Contacts'!Y:Y,"LQ")+COUNTIFS('All Contacts'!$T:$T, "N/A",'All Contacts'!$A:$A,"Chat",'All Contacts'!Y:Y,"LQ"))/P69,0)</f>
        <v>0</v>
      </c>
      <c r="S70" s="30"/>
    </row>
    <row r="71" spans="5:28" x14ac:dyDescent="0.2">
      <c r="E71" s="343"/>
      <c r="F71" s="194" t="s">
        <v>297</v>
      </c>
      <c r="G71" s="224">
        <f>IFERROR(1-H71-I71,0)</f>
        <v>1</v>
      </c>
      <c r="H71" s="222">
        <f>IFERROR(IF((COUNTIFS('All Contacts'!$I:$I, "", 'All Contacts'!$AB:$AB, "Cycle 2",'All Contacts'!Y:Y,"LQ")+COUNTIFS('All Contacts'!$S:$S, "", 'All Contacts'!$AB:$AB, "Cycle 2",'All Contacts'!Y:Y,"LQ"))/G47&gt;1,1,(COUNTIFS('All Contacts'!$I:$I, "", 'All Contacts'!$AB:$AB, "Cycle 2",'All Contacts'!Y:Y,"LQ")+COUNTIFS('All Contacts'!$S:$S, "", 'All Contacts'!$AB:$AB, "Cycle 2",'All Contacts'!Y:Y,"LQ"))/G47),0)</f>
        <v>0</v>
      </c>
      <c r="I71" s="225">
        <f>IFERROR((COUNTIFS('All Contacts'!$I:$I, "N/A", 'All Contacts'!$AB:$AB, "Cycle 1",'All Contacts'!Y:Y,"LQ")+COUNTIFS('All Contacts'!$S:$S, "N/A", 'All Contacts'!$AB:$AB, "Cycle 1",'All Contacts'!Y:Y,"LQ"))/G47,0)</f>
        <v>0</v>
      </c>
      <c r="J71" s="224">
        <f>IFERROR(1-K71-L71,0)</f>
        <v>1</v>
      </c>
      <c r="K71" s="222">
        <f>IFERROR(IF((COUNTIFS('All Contacts'!$I:$I, "", 'All Contacts'!$AB:$AB, "Cycle 2",'All Contacts'!Y:Y,"LQ")+COUNTIFS('All Contacts'!$S:$S, "", 'All Contacts'!$AB:$AB, "Cycle 2",'All Contacts'!Y:Y,"LQ"))/J47&gt;1,1,(COUNTIFS('All Contacts'!$I:$I, "", 'All Contacts'!$AB:$AB, "Cycle 2",'All Contacts'!Y:Y,"LQ")+COUNTIFS('All Contacts'!$S:$S, "", 'All Contacts'!$AB:$AB, "Cycle 2",'All Contacts'!Y:Y,"LQ"))/J47),0)</f>
        <v>0</v>
      </c>
      <c r="L71" s="225">
        <f>IFERROR((COUNTIFS('All Contacts'!$I:$I, "N/A", 'All Contacts'!$AB:$AB, "Cycle 2",'All Contacts'!Y:Y,"LQ")+COUNTIFS('All Contacts'!$S:$S, "N/A", 'All Contacts'!$AB:$AB, "Cycle 2",'All Contacts'!Y:Y,"LQ"))/J47,0)</f>
        <v>0</v>
      </c>
      <c r="M71" s="224">
        <f>IFERROR(1-N71-O71,0)</f>
        <v>1</v>
      </c>
      <c r="N71" s="222">
        <f>IFERROR(IF((COUNTIFS('All Contacts'!$I:$I, "", 'All Contacts'!$AB:$AB, "Cycle 3",'All Contacts'!Y:Y,"LQ")+COUNTIFS('All Contacts'!$S:$S, "", 'All Contacts'!$AB:$AB, "Cycle 3",'All Contacts'!Y:Y,"LQ"))/M47&gt;1,1,(COUNTIFS('All Contacts'!$I:$I, "", 'All Contacts'!$AB:$AB, "Cycle 3",'All Contacts'!Y:Y,"LQ")+COUNTIFS('All Contacts'!$S:$S, "", 'All Contacts'!$AB:$AB, "Cycle 3",'All Contacts'!Y:Y,"LQ"))/M47),0)</f>
        <v>0</v>
      </c>
      <c r="O71" s="225">
        <f>IFERROR((COUNTIFS('All Contacts'!$I:$I, "N/A", 'All Contacts'!$AB:$AB, "Cycle 3",'All Contacts'!Y:Y,"LQ")+COUNTIFS('All Contacts'!$S:$S, "N/A", 'All Contacts'!$AB:$AB, "Cycle 3",'All Contacts'!Y:Y,"LQ"))/M47,0)</f>
        <v>0</v>
      </c>
      <c r="P71" s="224">
        <f>IFERROR(1-Q71-R71,0)</f>
        <v>1</v>
      </c>
      <c r="Q71" s="222">
        <f>IFERROR(IF((COUNTIFS('All Contacts'!$I:$I,"",'All Contacts'!A:A,"&lt;&gt;",'All Contacts'!Y:Y,"LQ")+COUNTIFS('All Contacts'!$S:$S,"",'All Contacts'!A:A,"&lt;&gt;",'All Contacts'!Y:Y,"LQ"))/P47&gt;1,1,(COUNTIFS('All Contacts'!$I:$I,"",'All Contacts'!A:A,"&lt;&gt;",'All Contacts'!Y:Y,"LQ")+COUNTIFS('All Contacts'!$S:$S,"",'All Contacts'!A:A,"&lt;&gt;",'All Contacts'!Y:Y,"LQ"))/P47),0)</f>
        <v>0</v>
      </c>
      <c r="R71" s="225">
        <f>IFERROR((COUNTIFS('All Contacts'!$I:$I, "N/A",'All Contacts'!Y:Y,"LQ")+COUNTIFS('All Contacts'!$S:$S, "N/A",'All Contacts'!Y:Y,"LQ"))/P47,0)</f>
        <v>0</v>
      </c>
      <c r="S71" s="30"/>
    </row>
    <row r="72" spans="5:28" ht="13.5" thickBot="1" x14ac:dyDescent="0.25">
      <c r="E72" s="344"/>
      <c r="F72" s="195" t="s">
        <v>323</v>
      </c>
      <c r="G72" s="206">
        <f>IFERROR((COUNTIFS('All Contacts'!$U:$U, "Y", 'All Contacts'!$AB:$AB, "Cycle 1",'All Contacts'!$A:$A,"Chat",'All Contacts'!Y:Y,"LQ")+COUNTIFS('All Contacts'!$V:$V, "Y", 'All Contacts'!$AB:$AB, "Cycle 1",'All Contacts'!$A:$A,"Email",'All Contacts'!Y:Y,"LQ"))/H69,0)</f>
        <v>0</v>
      </c>
      <c r="H72" s="207">
        <f>IFERROR((COUNTIFS('All Contacts'!$U:$U, "", 'All Contacts'!$AB:$AB, "Cycle 1",'All Contacts'!$A:$A,"Chat",'All Contacts'!Y:Y,"LQ")+COUNTIFS('All Contacts'!$V:$V, "", 'All Contacts'!$AB:$AB, "Cycle 1",'All Contacts'!$A:$A,"Email",'All Contacts'!Y:Y,"LQ"))/H69,0)</f>
        <v>0</v>
      </c>
      <c r="I72" s="221">
        <f>IFERROR((COUNTIFS('All Contacts'!$U:$U, "N/A", 'All Contacts'!$AB:$AB, "Cycle 1",'All Contacts'!$A:$A,"Chat",'All Contacts'!Y:Y,"LQ")+COUNTIFS('All Contacts'!$V:$V, "N/A", 'All Contacts'!$AB:$AB, "Cycle 1",'All Contacts'!$A:$A,"Email",'All Contacts'!Y:Y,"LQ"))/H69,0)</f>
        <v>0</v>
      </c>
      <c r="J72" s="206">
        <f>IFERROR((COUNTIFS('All Contacts'!$U:$U, "Y", 'All Contacts'!$AB:$AB, "Cycle 2",'All Contacts'!$A:$A,"Chat",'All Contacts'!Y:Y,"LQ")+COUNTIFS('All Contacts'!$V:$V, "Y", 'All Contacts'!$AB:$AB, "Cycle 2",'All Contacts'!$A:$A,"Email",'All Contacts'!Y:Y,"LQ"))/K69,0)</f>
        <v>0</v>
      </c>
      <c r="K72" s="207">
        <f>IFERROR((COUNTIFS('All Contacts'!$U:$U, "", 'All Contacts'!$AB:$AB, "Cycle 2",'All Contacts'!$A:$A,"Chat",'All Contacts'!Y:Y,"LQ")+COUNTIFS('All Contacts'!$V:$V, "", 'All Contacts'!$AB:$AB, "Cycle 2",'All Contacts'!$A:$A,"Email",'All Contacts'!Y:Y,"LQ"))/K69,0)</f>
        <v>0</v>
      </c>
      <c r="L72" s="221">
        <f>IFERROR((COUNTIFS('All Contacts'!$U:$U, "N/A", 'All Contacts'!$AB:$AB, "Cycle 2",'All Contacts'!$A:$A,"Chat",'All Contacts'!Y:Y,"LQ")+COUNTIFS('All Contacts'!$V:$V, "N/A", 'All Contacts'!$AB:$AB, "Cycle 2",'All Contacts'!$A:$A,"Email",'All Contacts'!Y:Y,"LQ"))/K69,0)</f>
        <v>0</v>
      </c>
      <c r="M72" s="206">
        <f>IFERROR((COUNTIFS('All Contacts'!$U:$U, "Y", 'All Contacts'!$AB:$AB, "Cycle 3",'All Contacts'!$A:$A,"Chat",'All Contacts'!Y:Y,"LQ")+COUNTIFS('All Contacts'!$V:$V, "Y", 'All Contacts'!$AB:$AB, "Cycle 3",'All Contacts'!$A:$A,"Email",'All Contacts'!Y:Y,"LQ"))/N69,0)</f>
        <v>0</v>
      </c>
      <c r="N72" s="207">
        <f>IFERROR((COUNTIFS('All Contacts'!$U:$U, "", 'All Contacts'!$AB:$AB, "Cycle 3",'All Contacts'!$A:$A,"Chat",'All Contacts'!Y:Y,"LQ")+COUNTIFS('All Contacts'!$V:$V, "", 'All Contacts'!$AB:$AB, "Cycle 3",'All Contacts'!$A:$A,"Email",'All Contacts'!Y:Y,"LQ"))/N69,0)</f>
        <v>0</v>
      </c>
      <c r="O72" s="221">
        <f>IFERROR((COUNTIFS('All Contacts'!$U:$U, "N/A", 'All Contacts'!$AB:$AB, "Cycle 3",'All Contacts'!$A:$A,"Chat",'All Contacts'!Y:Y,"LQ")+COUNTIFS('All Contacts'!$V:$V, "N/A", 'All Contacts'!$AB:$AB, "Cycle 3",'All Contacts'!$A:$A,"Email",'All Contacts'!Y:Y,"LQ"))/N69,0)</f>
        <v>0</v>
      </c>
      <c r="P72" s="206">
        <f>IFERROR((COUNTIFS('All Contacts'!$U:$U, "Y",'All Contacts'!$A:$A,"Chat",'All Contacts'!Y:Y,"LQ")+COUNTIFS('All Contacts'!$V:$V, "Y",'All Contacts'!$A:$A,"Email",'All Contacts'!Y:Y,"LQ"))/Q69,0)</f>
        <v>0</v>
      </c>
      <c r="Q72" s="207">
        <f>IFERROR((COUNTIFS('All Contacts'!$U:$U, "",'All Contacts'!$A:$A,"Chat",'All Contacts'!Y:Y,"LQ")+COUNTIFS('All Contacts'!$V:$V, "",'All Contacts'!$A:$A,"Email",'All Contacts'!Y:Y,"LQ"))/Q69,0)</f>
        <v>0</v>
      </c>
      <c r="R72" s="221">
        <f>IFERROR((COUNTIFS('All Contacts'!$U:$U, "N/A",'All Contacts'!$A:$A,"Chat",'All Contacts'!Y:Y,"LQ")+COUNTIFS('All Contacts'!$V:$V, "N/A",'All Contacts'!$A:$A,"Email",'All Contacts'!Y:Y,"LQ"))/Q69,0)</f>
        <v>0</v>
      </c>
    </row>
    <row r="73" spans="5:28" x14ac:dyDescent="0.2">
      <c r="I73" s="4"/>
    </row>
    <row r="74" spans="5:28" x14ac:dyDescent="0.2">
      <c r="I74" s="4"/>
    </row>
    <row r="75" spans="5:28" x14ac:dyDescent="0.2">
      <c r="E75" s="120" t="s">
        <v>354</v>
      </c>
      <c r="F75" s="16"/>
      <c r="G75" s="10"/>
      <c r="J75" s="10"/>
      <c r="K75" s="10"/>
      <c r="M75" s="120" t="s">
        <v>444</v>
      </c>
      <c r="N75" s="16"/>
      <c r="U75" s="307" t="s">
        <v>622</v>
      </c>
      <c r="V75" s="23"/>
      <c r="X75" s="23"/>
    </row>
    <row r="76" spans="5:28" ht="25.5" x14ac:dyDescent="0.2">
      <c r="E76" s="263" t="s">
        <v>356</v>
      </c>
      <c r="F76" s="264" t="s">
        <v>333</v>
      </c>
      <c r="G76" s="264" t="s">
        <v>259</v>
      </c>
      <c r="H76" s="264" t="s">
        <v>358</v>
      </c>
      <c r="I76" s="264" t="s">
        <v>359</v>
      </c>
      <c r="J76" s="265" t="s">
        <v>357</v>
      </c>
      <c r="K76" s="265" t="s">
        <v>595</v>
      </c>
      <c r="M76" s="263" t="s">
        <v>387</v>
      </c>
      <c r="N76" s="264" t="s">
        <v>123</v>
      </c>
      <c r="O76" s="264" t="s">
        <v>388</v>
      </c>
      <c r="P76" s="264" t="s">
        <v>389</v>
      </c>
      <c r="Q76" s="264" t="s">
        <v>390</v>
      </c>
      <c r="R76" s="264" t="s">
        <v>391</v>
      </c>
      <c r="S76" s="265" t="s">
        <v>443</v>
      </c>
      <c r="U76" s="274" t="s">
        <v>623</v>
      </c>
      <c r="V76" s="200" t="s">
        <v>611</v>
      </c>
      <c r="W76" s="269" t="s">
        <v>612</v>
      </c>
      <c r="X76" s="200" t="s">
        <v>613</v>
      </c>
      <c r="Y76" s="200" t="s">
        <v>615</v>
      </c>
      <c r="Z76" s="200" t="s">
        <v>614</v>
      </c>
      <c r="AA76" s="200" t="s">
        <v>616</v>
      </c>
      <c r="AB76" s="200" t="s">
        <v>635</v>
      </c>
    </row>
    <row r="77" spans="5:28" ht="15" x14ac:dyDescent="0.2">
      <c r="E77" s="23"/>
      <c r="F77" s="254"/>
      <c r="G77" s="254"/>
      <c r="H77" s="292"/>
      <c r="I77" s="254"/>
      <c r="J77" s="292"/>
      <c r="K77" s="292"/>
      <c r="M77" s="254"/>
      <c r="N77" s="12"/>
      <c r="O77" s="12"/>
      <c r="P77" s="23"/>
      <c r="Q77" s="6"/>
      <c r="R77" s="12"/>
      <c r="S77" s="12"/>
      <c r="U77" s="254"/>
      <c r="V77" s="23"/>
      <c r="W77" s="282"/>
      <c r="AA77" s="270"/>
    </row>
    <row r="78" spans="5:28" ht="15" x14ac:dyDescent="0.2">
      <c r="E78" s="23"/>
      <c r="F78" s="254"/>
      <c r="G78" s="254"/>
      <c r="H78" s="292"/>
      <c r="I78" s="292"/>
      <c r="J78" s="254"/>
      <c r="K78" s="292"/>
      <c r="M78" s="254" t="s">
        <v>439</v>
      </c>
      <c r="N78" s="12" t="s">
        <v>439</v>
      </c>
      <c r="O78" s="12" t="s">
        <v>439</v>
      </c>
      <c r="P78" s="23" t="s">
        <v>439</v>
      </c>
      <c r="Q78" s="270" t="s">
        <v>439</v>
      </c>
      <c r="R78" s="12" t="s">
        <v>439</v>
      </c>
      <c r="S78" s="12" t="s">
        <v>439</v>
      </c>
      <c r="U78" s="254" t="s">
        <v>439</v>
      </c>
      <c r="V78" s="23" t="s">
        <v>439</v>
      </c>
      <c r="W78" s="282" t="s">
        <v>439</v>
      </c>
      <c r="X78" s="12" t="s">
        <v>439</v>
      </c>
      <c r="Y78" s="12" t="s">
        <v>439</v>
      </c>
      <c r="Z78" s="12" t="s">
        <v>439</v>
      </c>
      <c r="AA78" s="12" t="s">
        <v>439</v>
      </c>
    </row>
    <row r="79" spans="5:28" ht="15" x14ac:dyDescent="0.2">
      <c r="E79" s="21"/>
      <c r="F79" s="254"/>
      <c r="G79" s="254"/>
      <c r="H79" s="254"/>
      <c r="I79" s="292"/>
      <c r="J79" s="254"/>
      <c r="K79" s="254"/>
      <c r="M79" s="254" t="s">
        <v>439</v>
      </c>
      <c r="N79" s="12" t="s">
        <v>439</v>
      </c>
      <c r="O79" s="12" t="s">
        <v>439</v>
      </c>
      <c r="P79" s="23" t="s">
        <v>439</v>
      </c>
      <c r="Q79" s="270" t="s">
        <v>439</v>
      </c>
      <c r="R79" s="12" t="s">
        <v>439</v>
      </c>
      <c r="S79" s="12" t="s">
        <v>439</v>
      </c>
      <c r="U79" s="254" t="s">
        <v>439</v>
      </c>
      <c r="V79" s="23" t="s">
        <v>439</v>
      </c>
      <c r="W79" s="282" t="s">
        <v>439</v>
      </c>
      <c r="X79" s="12" t="s">
        <v>439</v>
      </c>
      <c r="Y79" s="12" t="s">
        <v>439</v>
      </c>
      <c r="Z79" s="12" t="s">
        <v>439</v>
      </c>
      <c r="AA79" s="12" t="s">
        <v>439</v>
      </c>
    </row>
    <row r="80" spans="5:28" ht="15" x14ac:dyDescent="0.2">
      <c r="E80" s="21"/>
      <c r="F80" s="254"/>
      <c r="G80" s="254"/>
      <c r="H80" s="254"/>
      <c r="I80" s="254"/>
      <c r="J80" s="254"/>
      <c r="K80" s="254"/>
      <c r="M80" s="254" t="s">
        <v>439</v>
      </c>
      <c r="N80" s="12" t="s">
        <v>439</v>
      </c>
      <c r="O80" s="12" t="s">
        <v>439</v>
      </c>
      <c r="P80" s="23" t="s">
        <v>439</v>
      </c>
      <c r="Q80" s="270" t="s">
        <v>439</v>
      </c>
      <c r="R80" s="12" t="s">
        <v>439</v>
      </c>
      <c r="S80" s="12" t="s">
        <v>439</v>
      </c>
      <c r="U80" s="254" t="s">
        <v>439</v>
      </c>
      <c r="V80" s="23" t="s">
        <v>439</v>
      </c>
      <c r="W80" s="282" t="s">
        <v>439</v>
      </c>
      <c r="X80" s="12" t="s">
        <v>439</v>
      </c>
      <c r="Y80" s="12" t="s">
        <v>439</v>
      </c>
      <c r="Z80" s="12" t="s">
        <v>439</v>
      </c>
      <c r="AA80" s="12" t="s">
        <v>439</v>
      </c>
    </row>
    <row r="81" spans="5:27" x14ac:dyDescent="0.2">
      <c r="E81" s="23"/>
      <c r="F81" s="254"/>
      <c r="G81" s="254"/>
      <c r="H81" s="254"/>
      <c r="I81" s="254"/>
      <c r="J81" s="254"/>
      <c r="K81" s="254"/>
      <c r="M81" s="254" t="s">
        <v>439</v>
      </c>
      <c r="N81" s="12" t="s">
        <v>439</v>
      </c>
      <c r="O81" s="12" t="s">
        <v>439</v>
      </c>
      <c r="P81" s="23" t="s">
        <v>439</v>
      </c>
      <c r="Q81" s="12" t="s">
        <v>439</v>
      </c>
      <c r="R81" s="12" t="s">
        <v>439</v>
      </c>
      <c r="S81" s="12" t="s">
        <v>439</v>
      </c>
      <c r="U81" s="254" t="s">
        <v>439</v>
      </c>
      <c r="V81" s="23" t="s">
        <v>439</v>
      </c>
      <c r="W81" s="282" t="s">
        <v>439</v>
      </c>
      <c r="X81" s="12" t="s">
        <v>439</v>
      </c>
      <c r="Y81" s="12" t="s">
        <v>439</v>
      </c>
      <c r="Z81" s="12" t="s">
        <v>439</v>
      </c>
      <c r="AA81" s="12" t="s">
        <v>439</v>
      </c>
    </row>
    <row r="82" spans="5:27" x14ac:dyDescent="0.2">
      <c r="E82" s="23"/>
      <c r="F82" s="254"/>
      <c r="G82" s="254"/>
      <c r="H82" s="254"/>
      <c r="I82" s="275"/>
      <c r="J82" s="293"/>
      <c r="K82" s="293"/>
      <c r="M82" s="254" t="s">
        <v>439</v>
      </c>
      <c r="N82" s="12" t="s">
        <v>439</v>
      </c>
      <c r="O82" s="12" t="s">
        <v>439</v>
      </c>
      <c r="P82" s="23" t="s">
        <v>439</v>
      </c>
      <c r="Q82" s="12" t="s">
        <v>439</v>
      </c>
      <c r="R82" s="12" t="s">
        <v>439</v>
      </c>
      <c r="S82" s="12" t="s">
        <v>439</v>
      </c>
      <c r="U82" s="254" t="s">
        <v>439</v>
      </c>
      <c r="V82" s="23" t="s">
        <v>439</v>
      </c>
      <c r="W82" s="282" t="s">
        <v>439</v>
      </c>
      <c r="X82" s="12" t="s">
        <v>439</v>
      </c>
      <c r="Y82" s="12" t="s">
        <v>439</v>
      </c>
      <c r="Z82" s="12" t="s">
        <v>439</v>
      </c>
      <c r="AA82" s="12" t="s">
        <v>439</v>
      </c>
    </row>
    <row r="83" spans="5:27" x14ac:dyDescent="0.2">
      <c r="E83" s="23"/>
      <c r="F83" s="254"/>
      <c r="G83" s="254"/>
      <c r="H83" s="254"/>
      <c r="I83" s="275"/>
      <c r="J83" s="293"/>
      <c r="K83" s="293"/>
      <c r="M83" s="254" t="s">
        <v>439</v>
      </c>
      <c r="N83" s="12" t="s">
        <v>439</v>
      </c>
      <c r="O83" s="12" t="s">
        <v>439</v>
      </c>
      <c r="P83" s="23" t="s">
        <v>439</v>
      </c>
      <c r="Q83" s="12" t="s">
        <v>439</v>
      </c>
      <c r="R83" s="12" t="s">
        <v>439</v>
      </c>
      <c r="S83" s="12" t="s">
        <v>439</v>
      </c>
      <c r="U83" s="254" t="s">
        <v>439</v>
      </c>
      <c r="V83" s="23" t="s">
        <v>439</v>
      </c>
      <c r="W83" s="282" t="s">
        <v>439</v>
      </c>
      <c r="X83" s="12" t="s">
        <v>439</v>
      </c>
      <c r="Y83" s="12" t="s">
        <v>439</v>
      </c>
      <c r="Z83" s="12" t="s">
        <v>439</v>
      </c>
      <c r="AA83" s="12" t="s">
        <v>439</v>
      </c>
    </row>
    <row r="84" spans="5:27" x14ac:dyDescent="0.2">
      <c r="E84" s="23"/>
      <c r="F84" s="254"/>
      <c r="G84" s="254"/>
      <c r="H84" s="254"/>
      <c r="I84" s="275"/>
      <c r="J84" s="293"/>
      <c r="K84" s="293"/>
      <c r="M84" s="254" t="s">
        <v>439</v>
      </c>
      <c r="N84" s="12" t="s">
        <v>439</v>
      </c>
      <c r="O84" s="12" t="s">
        <v>439</v>
      </c>
      <c r="P84" s="23" t="s">
        <v>439</v>
      </c>
      <c r="Q84" s="12" t="s">
        <v>439</v>
      </c>
      <c r="R84" s="12" t="s">
        <v>439</v>
      </c>
      <c r="S84" s="12" t="s">
        <v>439</v>
      </c>
      <c r="U84" s="254" t="s">
        <v>439</v>
      </c>
      <c r="V84" s="23" t="s">
        <v>439</v>
      </c>
      <c r="W84" s="282" t="s">
        <v>439</v>
      </c>
      <c r="X84" s="12" t="s">
        <v>439</v>
      </c>
      <c r="Y84" s="12" t="s">
        <v>439</v>
      </c>
      <c r="Z84" s="12" t="s">
        <v>439</v>
      </c>
      <c r="AA84" s="12" t="s">
        <v>439</v>
      </c>
    </row>
    <row r="85" spans="5:27" x14ac:dyDescent="0.2">
      <c r="E85" s="23"/>
      <c r="F85" s="254"/>
      <c r="G85" s="254"/>
      <c r="H85" s="254"/>
      <c r="I85" s="275"/>
      <c r="J85" s="293"/>
      <c r="K85" s="293"/>
      <c r="M85" s="254" t="s">
        <v>439</v>
      </c>
      <c r="N85" s="12" t="s">
        <v>439</v>
      </c>
      <c r="O85" s="12" t="s">
        <v>439</v>
      </c>
      <c r="P85" s="23" t="s">
        <v>439</v>
      </c>
      <c r="Q85" s="12" t="s">
        <v>439</v>
      </c>
      <c r="R85" s="12" t="s">
        <v>439</v>
      </c>
      <c r="S85" s="12" t="s">
        <v>439</v>
      </c>
      <c r="U85" s="254" t="s">
        <v>439</v>
      </c>
      <c r="V85" s="23" t="s">
        <v>439</v>
      </c>
      <c r="W85" s="282" t="s">
        <v>439</v>
      </c>
      <c r="X85" s="12" t="s">
        <v>439</v>
      </c>
      <c r="Y85" s="12" t="s">
        <v>439</v>
      </c>
      <c r="Z85" s="12" t="s">
        <v>439</v>
      </c>
      <c r="AA85" s="12" t="s">
        <v>439</v>
      </c>
    </row>
    <row r="86" spans="5:27" x14ac:dyDescent="0.2">
      <c r="E86" s="23"/>
      <c r="F86" s="254"/>
      <c r="G86" s="254"/>
      <c r="H86" s="254"/>
      <c r="I86" s="275"/>
      <c r="J86" s="293"/>
      <c r="K86" s="293"/>
      <c r="M86" s="254" t="s">
        <v>439</v>
      </c>
      <c r="N86" s="12" t="s">
        <v>439</v>
      </c>
      <c r="O86" s="12" t="s">
        <v>439</v>
      </c>
      <c r="P86" s="23" t="s">
        <v>439</v>
      </c>
      <c r="Q86" s="12" t="s">
        <v>439</v>
      </c>
      <c r="R86" s="12" t="s">
        <v>439</v>
      </c>
      <c r="S86" s="12" t="s">
        <v>439</v>
      </c>
      <c r="U86" s="254" t="s">
        <v>439</v>
      </c>
      <c r="V86" s="23" t="s">
        <v>439</v>
      </c>
      <c r="W86" s="282" t="s">
        <v>439</v>
      </c>
      <c r="X86" s="12" t="s">
        <v>439</v>
      </c>
      <c r="Y86" s="12" t="s">
        <v>439</v>
      </c>
      <c r="Z86" s="12" t="s">
        <v>439</v>
      </c>
      <c r="AA86" s="12" t="s">
        <v>439</v>
      </c>
    </row>
    <row r="87" spans="5:27" x14ac:dyDescent="0.2">
      <c r="E87" s="23"/>
      <c r="F87" s="254"/>
      <c r="G87" s="254"/>
      <c r="H87" s="254"/>
      <c r="I87" s="275"/>
      <c r="J87" s="293"/>
      <c r="K87" s="293"/>
      <c r="M87" s="254" t="s">
        <v>439</v>
      </c>
      <c r="N87" s="12" t="s">
        <v>439</v>
      </c>
      <c r="O87" s="12" t="s">
        <v>439</v>
      </c>
      <c r="P87" s="23" t="s">
        <v>439</v>
      </c>
      <c r="Q87" s="12" t="s">
        <v>439</v>
      </c>
      <c r="R87" s="12" t="s">
        <v>439</v>
      </c>
      <c r="S87" s="12" t="s">
        <v>439</v>
      </c>
      <c r="U87" s="254" t="s">
        <v>439</v>
      </c>
      <c r="V87" s="23" t="s">
        <v>439</v>
      </c>
      <c r="W87" s="282" t="s">
        <v>439</v>
      </c>
      <c r="X87" s="12" t="s">
        <v>439</v>
      </c>
      <c r="Y87" s="12" t="s">
        <v>439</v>
      </c>
      <c r="Z87" s="12" t="s">
        <v>439</v>
      </c>
      <c r="AA87" s="12" t="s">
        <v>439</v>
      </c>
    </row>
    <row r="88" spans="5:27" x14ac:dyDescent="0.2">
      <c r="E88" s="23"/>
      <c r="F88" s="254"/>
      <c r="G88" s="254"/>
      <c r="H88" s="254"/>
      <c r="I88" s="275"/>
      <c r="J88" s="293"/>
      <c r="K88" s="293"/>
      <c r="M88" s="254" t="s">
        <v>439</v>
      </c>
      <c r="N88" s="12" t="s">
        <v>439</v>
      </c>
      <c r="O88" s="12" t="s">
        <v>439</v>
      </c>
      <c r="P88" s="23" t="s">
        <v>439</v>
      </c>
      <c r="Q88" s="12" t="s">
        <v>439</v>
      </c>
      <c r="R88" s="12" t="s">
        <v>439</v>
      </c>
      <c r="S88" s="12" t="s">
        <v>439</v>
      </c>
      <c r="U88" s="254" t="s">
        <v>439</v>
      </c>
      <c r="V88" s="23" t="s">
        <v>439</v>
      </c>
      <c r="W88" s="282" t="s">
        <v>439</v>
      </c>
      <c r="X88" s="12" t="s">
        <v>439</v>
      </c>
      <c r="Y88" s="12" t="s">
        <v>439</v>
      </c>
      <c r="Z88" s="12" t="s">
        <v>439</v>
      </c>
      <c r="AA88" s="12" t="s">
        <v>439</v>
      </c>
    </row>
    <row r="89" spans="5:27" x14ac:dyDescent="0.2">
      <c r="E89" s="23"/>
      <c r="F89" s="254"/>
      <c r="G89" s="254"/>
      <c r="H89" s="254"/>
      <c r="I89" s="275"/>
      <c r="J89" s="293"/>
      <c r="K89" s="293"/>
      <c r="M89" s="254" t="s">
        <v>439</v>
      </c>
      <c r="N89" s="12" t="s">
        <v>439</v>
      </c>
      <c r="O89" s="12" t="s">
        <v>439</v>
      </c>
      <c r="P89" s="23" t="s">
        <v>439</v>
      </c>
      <c r="Q89" s="12" t="s">
        <v>439</v>
      </c>
      <c r="R89" s="12" t="s">
        <v>439</v>
      </c>
      <c r="S89" s="12" t="s">
        <v>439</v>
      </c>
      <c r="U89" s="254" t="s">
        <v>439</v>
      </c>
      <c r="V89" s="23" t="s">
        <v>439</v>
      </c>
      <c r="W89" s="282" t="s">
        <v>439</v>
      </c>
      <c r="X89" s="12" t="s">
        <v>439</v>
      </c>
      <c r="Y89" s="12" t="s">
        <v>439</v>
      </c>
      <c r="Z89" s="12" t="s">
        <v>439</v>
      </c>
      <c r="AA89" s="12" t="s">
        <v>439</v>
      </c>
    </row>
    <row r="90" spans="5:27" x14ac:dyDescent="0.2">
      <c r="E90" s="23"/>
      <c r="F90" s="254"/>
      <c r="G90" s="254"/>
      <c r="H90" s="254"/>
      <c r="I90" s="275"/>
      <c r="J90" s="293"/>
      <c r="K90" s="293"/>
      <c r="M90" s="254" t="s">
        <v>439</v>
      </c>
      <c r="N90" s="12" t="s">
        <v>439</v>
      </c>
      <c r="O90" s="12" t="s">
        <v>439</v>
      </c>
      <c r="P90" s="23" t="s">
        <v>439</v>
      </c>
      <c r="Q90" s="12" t="s">
        <v>439</v>
      </c>
      <c r="R90" s="12" t="s">
        <v>439</v>
      </c>
      <c r="S90" s="12" t="s">
        <v>439</v>
      </c>
      <c r="U90" s="254" t="s">
        <v>439</v>
      </c>
      <c r="V90" s="23" t="s">
        <v>439</v>
      </c>
      <c r="W90" s="282" t="s">
        <v>439</v>
      </c>
      <c r="X90" s="12" t="s">
        <v>439</v>
      </c>
      <c r="Y90" s="12" t="s">
        <v>439</v>
      </c>
      <c r="Z90" s="12" t="s">
        <v>439</v>
      </c>
      <c r="AA90" s="12" t="s">
        <v>439</v>
      </c>
    </row>
    <row r="91" spans="5:27" x14ac:dyDescent="0.2">
      <c r="E91" s="23"/>
      <c r="F91" s="254"/>
      <c r="G91" s="254"/>
      <c r="H91" s="254"/>
      <c r="I91" s="275"/>
      <c r="J91" s="293"/>
      <c r="K91" s="293"/>
      <c r="M91" s="254" t="s">
        <v>439</v>
      </c>
      <c r="N91" s="12" t="s">
        <v>439</v>
      </c>
      <c r="O91" s="12" t="s">
        <v>439</v>
      </c>
      <c r="P91" s="23" t="s">
        <v>439</v>
      </c>
      <c r="Q91" s="12" t="s">
        <v>439</v>
      </c>
      <c r="R91" s="12" t="s">
        <v>439</v>
      </c>
      <c r="S91" s="12" t="s">
        <v>439</v>
      </c>
      <c r="U91" s="254" t="s">
        <v>439</v>
      </c>
      <c r="V91" s="23" t="s">
        <v>439</v>
      </c>
      <c r="W91" s="282" t="s">
        <v>439</v>
      </c>
      <c r="X91" s="12" t="s">
        <v>439</v>
      </c>
      <c r="Y91" s="12" t="s">
        <v>439</v>
      </c>
      <c r="Z91" s="12" t="s">
        <v>439</v>
      </c>
      <c r="AA91" s="12" t="s">
        <v>439</v>
      </c>
    </row>
    <row r="92" spans="5:27" x14ac:dyDescent="0.2">
      <c r="E92" s="23"/>
      <c r="F92" s="254"/>
      <c r="G92" s="254"/>
      <c r="H92" s="254"/>
      <c r="I92" s="275"/>
      <c r="J92" s="293"/>
      <c r="K92" s="293"/>
      <c r="M92" s="254" t="s">
        <v>439</v>
      </c>
      <c r="N92" s="12" t="s">
        <v>439</v>
      </c>
      <c r="O92" s="12" t="s">
        <v>439</v>
      </c>
      <c r="P92" s="23" t="s">
        <v>439</v>
      </c>
      <c r="Q92" s="12" t="s">
        <v>439</v>
      </c>
      <c r="R92" s="12" t="s">
        <v>439</v>
      </c>
      <c r="S92" s="12" t="s">
        <v>439</v>
      </c>
      <c r="U92" s="254" t="s">
        <v>439</v>
      </c>
      <c r="V92" s="23" t="s">
        <v>439</v>
      </c>
      <c r="W92" s="282" t="s">
        <v>439</v>
      </c>
      <c r="X92" s="12" t="s">
        <v>439</v>
      </c>
      <c r="Y92" s="12" t="s">
        <v>439</v>
      </c>
      <c r="Z92" s="12" t="s">
        <v>439</v>
      </c>
      <c r="AA92" s="12" t="s">
        <v>439</v>
      </c>
    </row>
    <row r="93" spans="5:27" x14ac:dyDescent="0.2">
      <c r="E93" s="23"/>
      <c r="F93" s="254"/>
      <c r="G93" s="254"/>
      <c r="H93" s="254"/>
      <c r="I93" s="275"/>
      <c r="J93" s="293"/>
      <c r="K93" s="293"/>
      <c r="M93" s="254" t="s">
        <v>439</v>
      </c>
      <c r="N93" s="12" t="s">
        <v>439</v>
      </c>
      <c r="O93" s="12" t="s">
        <v>439</v>
      </c>
      <c r="P93" s="23" t="s">
        <v>439</v>
      </c>
      <c r="Q93" s="12" t="s">
        <v>439</v>
      </c>
      <c r="R93" s="12" t="s">
        <v>439</v>
      </c>
      <c r="S93" s="12" t="s">
        <v>439</v>
      </c>
      <c r="U93" s="254" t="s">
        <v>439</v>
      </c>
      <c r="V93" s="23" t="s">
        <v>439</v>
      </c>
      <c r="W93" s="282" t="s">
        <v>439</v>
      </c>
      <c r="X93" s="12" t="s">
        <v>439</v>
      </c>
      <c r="Y93" s="12" t="s">
        <v>439</v>
      </c>
      <c r="Z93" s="12" t="s">
        <v>439</v>
      </c>
      <c r="AA93" s="12" t="s">
        <v>439</v>
      </c>
    </row>
    <row r="94" spans="5:27" x14ac:dyDescent="0.2">
      <c r="E94" s="23"/>
      <c r="F94" s="254"/>
      <c r="G94" s="254"/>
      <c r="H94" s="254"/>
      <c r="I94" s="275"/>
      <c r="J94" s="293"/>
      <c r="K94" s="293"/>
      <c r="M94" s="254" t="s">
        <v>439</v>
      </c>
      <c r="N94" s="12" t="s">
        <v>439</v>
      </c>
      <c r="O94" s="12" t="s">
        <v>439</v>
      </c>
      <c r="P94" s="23" t="s">
        <v>439</v>
      </c>
      <c r="Q94" s="12" t="s">
        <v>439</v>
      </c>
      <c r="R94" s="12" t="s">
        <v>439</v>
      </c>
      <c r="S94" s="12" t="s">
        <v>439</v>
      </c>
      <c r="U94" s="254" t="s">
        <v>439</v>
      </c>
      <c r="V94" s="23" t="s">
        <v>439</v>
      </c>
      <c r="W94" s="282" t="s">
        <v>439</v>
      </c>
      <c r="X94" s="12" t="s">
        <v>439</v>
      </c>
      <c r="Y94" s="12" t="s">
        <v>439</v>
      </c>
      <c r="Z94" s="12" t="s">
        <v>439</v>
      </c>
      <c r="AA94" s="12" t="s">
        <v>439</v>
      </c>
    </row>
    <row r="95" spans="5:27" x14ac:dyDescent="0.2">
      <c r="E95" s="23"/>
      <c r="F95" s="254"/>
      <c r="G95" s="254"/>
      <c r="H95" s="254"/>
      <c r="I95" s="275"/>
      <c r="J95" s="293"/>
      <c r="K95" s="293"/>
      <c r="M95" s="254" t="s">
        <v>439</v>
      </c>
      <c r="N95" s="12" t="s">
        <v>439</v>
      </c>
      <c r="O95" s="12" t="s">
        <v>439</v>
      </c>
      <c r="P95" s="23" t="s">
        <v>439</v>
      </c>
      <c r="Q95" s="12" t="s">
        <v>439</v>
      </c>
      <c r="R95" s="12" t="s">
        <v>439</v>
      </c>
      <c r="S95" s="12" t="s">
        <v>439</v>
      </c>
      <c r="U95" s="254" t="s">
        <v>439</v>
      </c>
      <c r="V95" s="23" t="s">
        <v>439</v>
      </c>
      <c r="W95" s="282" t="s">
        <v>439</v>
      </c>
      <c r="X95" s="12" t="s">
        <v>439</v>
      </c>
      <c r="Y95" s="12" t="s">
        <v>439</v>
      </c>
      <c r="Z95" s="12" t="s">
        <v>439</v>
      </c>
      <c r="AA95" s="12" t="s">
        <v>439</v>
      </c>
    </row>
    <row r="96" spans="5:27" x14ac:dyDescent="0.2">
      <c r="E96" s="23"/>
      <c r="F96" s="254"/>
      <c r="G96" s="254"/>
      <c r="H96" s="254"/>
      <c r="I96" s="275"/>
      <c r="J96" s="293"/>
      <c r="K96" s="293"/>
      <c r="M96" s="254" t="s">
        <v>439</v>
      </c>
      <c r="N96" s="12" t="s">
        <v>439</v>
      </c>
      <c r="O96" s="12" t="s">
        <v>439</v>
      </c>
      <c r="P96" s="23" t="s">
        <v>439</v>
      </c>
      <c r="Q96" s="12" t="s">
        <v>439</v>
      </c>
      <c r="R96" s="12" t="s">
        <v>439</v>
      </c>
      <c r="S96" s="12" t="s">
        <v>439</v>
      </c>
      <c r="U96" s="254" t="s">
        <v>439</v>
      </c>
      <c r="V96" s="23" t="s">
        <v>439</v>
      </c>
      <c r="W96" s="282" t="s">
        <v>439</v>
      </c>
      <c r="X96" s="12" t="s">
        <v>439</v>
      </c>
      <c r="Y96" s="12" t="s">
        <v>439</v>
      </c>
      <c r="Z96" s="12" t="s">
        <v>439</v>
      </c>
      <c r="AA96" s="12" t="s">
        <v>439</v>
      </c>
    </row>
    <row r="97" spans="5:27" x14ac:dyDescent="0.2">
      <c r="E97" s="23"/>
      <c r="F97" s="254"/>
      <c r="G97" s="254"/>
      <c r="H97" s="254"/>
      <c r="I97" s="275"/>
      <c r="J97" s="293"/>
      <c r="K97" s="293"/>
      <c r="M97" s="254" t="s">
        <v>439</v>
      </c>
      <c r="N97" s="12" t="s">
        <v>439</v>
      </c>
      <c r="O97" s="12" t="s">
        <v>439</v>
      </c>
      <c r="P97" s="23" t="s">
        <v>439</v>
      </c>
      <c r="Q97" s="12" t="s">
        <v>439</v>
      </c>
      <c r="R97" s="12" t="s">
        <v>439</v>
      </c>
      <c r="S97" s="12" t="s">
        <v>439</v>
      </c>
      <c r="U97" s="254" t="s">
        <v>439</v>
      </c>
      <c r="V97" s="23" t="s">
        <v>439</v>
      </c>
      <c r="W97" s="282" t="s">
        <v>439</v>
      </c>
      <c r="X97" s="12" t="s">
        <v>439</v>
      </c>
      <c r="Y97" s="12" t="s">
        <v>439</v>
      </c>
      <c r="Z97" s="12" t="s">
        <v>439</v>
      </c>
      <c r="AA97" s="12" t="s">
        <v>439</v>
      </c>
    </row>
    <row r="98" spans="5:27" x14ac:dyDescent="0.2">
      <c r="E98" s="23"/>
      <c r="F98" s="254"/>
      <c r="G98" s="254"/>
      <c r="H98" s="254"/>
      <c r="I98" s="275"/>
      <c r="J98" s="293"/>
      <c r="K98" s="293"/>
      <c r="M98" s="254" t="s">
        <v>439</v>
      </c>
      <c r="N98" s="12" t="s">
        <v>439</v>
      </c>
      <c r="O98" s="12" t="s">
        <v>439</v>
      </c>
      <c r="P98" s="23" t="s">
        <v>439</v>
      </c>
      <c r="Q98" s="12" t="s">
        <v>439</v>
      </c>
      <c r="R98" s="12" t="s">
        <v>439</v>
      </c>
      <c r="S98" s="12" t="s">
        <v>439</v>
      </c>
      <c r="U98" s="254" t="s">
        <v>439</v>
      </c>
      <c r="V98" s="23" t="s">
        <v>439</v>
      </c>
      <c r="W98" s="282" t="s">
        <v>439</v>
      </c>
      <c r="X98" s="12" t="s">
        <v>439</v>
      </c>
      <c r="Y98" s="12" t="s">
        <v>439</v>
      </c>
      <c r="Z98" s="12" t="s">
        <v>439</v>
      </c>
      <c r="AA98" s="12" t="s">
        <v>439</v>
      </c>
    </row>
    <row r="99" spans="5:27" x14ac:dyDescent="0.2">
      <c r="E99" s="23"/>
      <c r="F99" s="254"/>
      <c r="G99" s="254"/>
      <c r="H99" s="254"/>
      <c r="I99" s="275"/>
      <c r="J99" s="293"/>
      <c r="K99" s="293"/>
      <c r="M99" s="254" t="s">
        <v>439</v>
      </c>
      <c r="N99" s="12" t="s">
        <v>439</v>
      </c>
      <c r="O99" s="12" t="s">
        <v>439</v>
      </c>
      <c r="P99" s="23" t="s">
        <v>439</v>
      </c>
      <c r="Q99" s="12" t="s">
        <v>439</v>
      </c>
      <c r="R99" s="12" t="s">
        <v>439</v>
      </c>
      <c r="S99" s="12" t="s">
        <v>439</v>
      </c>
      <c r="U99" s="254" t="s">
        <v>439</v>
      </c>
      <c r="V99" s="23" t="s">
        <v>439</v>
      </c>
      <c r="W99" s="282" t="s">
        <v>439</v>
      </c>
      <c r="X99" s="12" t="s">
        <v>439</v>
      </c>
      <c r="Y99" s="12" t="s">
        <v>439</v>
      </c>
      <c r="Z99" s="12" t="s">
        <v>439</v>
      </c>
      <c r="AA99" s="12" t="s">
        <v>439</v>
      </c>
    </row>
    <row r="100" spans="5:27" x14ac:dyDescent="0.2">
      <c r="E100" s="23"/>
      <c r="F100" s="254"/>
      <c r="G100" s="254"/>
      <c r="H100" s="254"/>
      <c r="I100" s="275"/>
      <c r="J100" s="293"/>
      <c r="K100" s="293"/>
      <c r="M100" s="254" t="s">
        <v>439</v>
      </c>
      <c r="N100" s="12" t="s">
        <v>439</v>
      </c>
      <c r="O100" s="12" t="s">
        <v>439</v>
      </c>
      <c r="P100" s="23" t="s">
        <v>439</v>
      </c>
      <c r="Q100" s="12" t="s">
        <v>439</v>
      </c>
      <c r="R100" s="12" t="s">
        <v>439</v>
      </c>
      <c r="S100" s="12" t="s">
        <v>439</v>
      </c>
      <c r="U100" s="254" t="s">
        <v>439</v>
      </c>
      <c r="V100" s="23" t="s">
        <v>439</v>
      </c>
      <c r="W100" s="282" t="s">
        <v>439</v>
      </c>
      <c r="X100" s="12" t="s">
        <v>439</v>
      </c>
      <c r="Y100" s="12" t="s">
        <v>439</v>
      </c>
      <c r="Z100" s="12" t="s">
        <v>439</v>
      </c>
      <c r="AA100" s="12" t="s">
        <v>439</v>
      </c>
    </row>
    <row r="101" spans="5:27" x14ac:dyDescent="0.2">
      <c r="E101" s="23"/>
      <c r="F101" s="254"/>
      <c r="G101" s="254"/>
      <c r="H101" s="254"/>
      <c r="I101" s="275"/>
      <c r="J101" s="293"/>
      <c r="K101" s="293"/>
      <c r="M101" s="254" t="s">
        <v>439</v>
      </c>
      <c r="N101" s="12" t="s">
        <v>439</v>
      </c>
      <c r="O101" s="12" t="s">
        <v>439</v>
      </c>
      <c r="P101" s="23" t="s">
        <v>439</v>
      </c>
      <c r="Q101" s="12" t="s">
        <v>439</v>
      </c>
      <c r="R101" s="12" t="s">
        <v>439</v>
      </c>
      <c r="S101" s="12" t="s">
        <v>439</v>
      </c>
      <c r="U101" s="254" t="s">
        <v>439</v>
      </c>
      <c r="V101" s="23" t="s">
        <v>439</v>
      </c>
      <c r="W101" s="282" t="s">
        <v>439</v>
      </c>
      <c r="X101" s="12" t="s">
        <v>439</v>
      </c>
      <c r="Y101" s="12" t="s">
        <v>439</v>
      </c>
      <c r="Z101" s="12" t="s">
        <v>439</v>
      </c>
      <c r="AA101" s="12" t="s">
        <v>439</v>
      </c>
    </row>
    <row r="102" spans="5:27" x14ac:dyDescent="0.2">
      <c r="E102" s="23"/>
      <c r="F102" s="254"/>
      <c r="G102" s="254"/>
      <c r="H102" s="254"/>
      <c r="I102" s="275"/>
      <c r="J102" s="293"/>
      <c r="K102" s="293"/>
      <c r="M102" s="254" t="s">
        <v>439</v>
      </c>
      <c r="N102" s="12" t="s">
        <v>439</v>
      </c>
      <c r="O102" s="12" t="s">
        <v>439</v>
      </c>
      <c r="P102" s="23" t="s">
        <v>439</v>
      </c>
      <c r="Q102" s="12" t="s">
        <v>439</v>
      </c>
      <c r="R102" s="12" t="s">
        <v>439</v>
      </c>
      <c r="S102" s="12" t="s">
        <v>439</v>
      </c>
      <c r="U102" s="254" t="s">
        <v>439</v>
      </c>
      <c r="V102" s="23" t="s">
        <v>439</v>
      </c>
      <c r="W102" s="282" t="s">
        <v>439</v>
      </c>
      <c r="X102" s="12" t="s">
        <v>439</v>
      </c>
      <c r="Y102" s="12" t="s">
        <v>439</v>
      </c>
      <c r="Z102" s="12" t="s">
        <v>439</v>
      </c>
      <c r="AA102" s="12" t="s">
        <v>439</v>
      </c>
    </row>
    <row r="103" spans="5:27" x14ac:dyDescent="0.2">
      <c r="E103" s="23"/>
      <c r="F103" s="254"/>
      <c r="G103" s="254"/>
      <c r="H103" s="254"/>
      <c r="I103" s="275"/>
      <c r="J103" s="293"/>
      <c r="K103" s="293"/>
      <c r="M103" s="254" t="s">
        <v>439</v>
      </c>
      <c r="N103" s="12" t="s">
        <v>439</v>
      </c>
      <c r="O103" s="12" t="s">
        <v>439</v>
      </c>
      <c r="P103" s="23" t="s">
        <v>439</v>
      </c>
      <c r="Q103" s="12" t="s">
        <v>439</v>
      </c>
      <c r="R103" s="12" t="s">
        <v>439</v>
      </c>
      <c r="S103" s="12" t="s">
        <v>439</v>
      </c>
      <c r="U103" s="254" t="s">
        <v>439</v>
      </c>
      <c r="V103" s="23" t="s">
        <v>439</v>
      </c>
      <c r="W103" s="282" t="s">
        <v>439</v>
      </c>
      <c r="X103" s="12" t="s">
        <v>439</v>
      </c>
      <c r="Y103" s="12" t="s">
        <v>439</v>
      </c>
      <c r="Z103" s="12" t="s">
        <v>439</v>
      </c>
      <c r="AA103" s="12" t="s">
        <v>439</v>
      </c>
    </row>
    <row r="104" spans="5:27" x14ac:dyDescent="0.2">
      <c r="E104" s="23"/>
      <c r="F104" s="254"/>
      <c r="G104" s="254"/>
      <c r="H104" s="254"/>
      <c r="I104" s="275"/>
      <c r="J104" s="293"/>
      <c r="K104" s="293"/>
      <c r="M104" s="12" t="s">
        <v>439</v>
      </c>
      <c r="N104" s="12" t="s">
        <v>439</v>
      </c>
      <c r="O104" s="12" t="s">
        <v>439</v>
      </c>
      <c r="P104" s="23" t="s">
        <v>439</v>
      </c>
      <c r="Q104" s="12" t="s">
        <v>439</v>
      </c>
      <c r="R104" s="12" t="s">
        <v>439</v>
      </c>
      <c r="S104" s="12" t="s">
        <v>439</v>
      </c>
      <c r="U104" s="254" t="s">
        <v>439</v>
      </c>
      <c r="V104" s="23" t="s">
        <v>439</v>
      </c>
      <c r="W104" s="282" t="s">
        <v>439</v>
      </c>
      <c r="X104" s="12" t="s">
        <v>439</v>
      </c>
      <c r="Y104" s="12" t="s">
        <v>439</v>
      </c>
      <c r="Z104" s="12" t="s">
        <v>439</v>
      </c>
      <c r="AA104" s="12" t="s">
        <v>439</v>
      </c>
    </row>
    <row r="105" spans="5:27" x14ac:dyDescent="0.2">
      <c r="E105" s="23"/>
      <c r="F105" s="254"/>
      <c r="G105" s="254"/>
      <c r="H105" s="254"/>
      <c r="I105" s="275"/>
      <c r="J105" s="293"/>
      <c r="K105" s="293"/>
      <c r="M105" s="12" t="s">
        <v>439</v>
      </c>
      <c r="N105" s="12" t="s">
        <v>439</v>
      </c>
      <c r="O105" s="12" t="s">
        <v>439</v>
      </c>
      <c r="P105" s="23" t="s">
        <v>439</v>
      </c>
      <c r="Q105" s="12" t="s">
        <v>439</v>
      </c>
      <c r="R105" s="12" t="s">
        <v>439</v>
      </c>
      <c r="S105" s="12" t="s">
        <v>439</v>
      </c>
      <c r="U105" s="254" t="s">
        <v>439</v>
      </c>
      <c r="V105" s="23" t="s">
        <v>439</v>
      </c>
      <c r="W105" s="282" t="s">
        <v>439</v>
      </c>
      <c r="X105" s="12" t="s">
        <v>439</v>
      </c>
      <c r="Y105" s="12" t="s">
        <v>439</v>
      </c>
      <c r="Z105" s="12" t="s">
        <v>439</v>
      </c>
      <c r="AA105" s="12" t="s">
        <v>439</v>
      </c>
    </row>
    <row r="106" spans="5:27" x14ac:dyDescent="0.2">
      <c r="E106" s="23"/>
      <c r="F106" s="254"/>
      <c r="G106" s="254"/>
      <c r="H106" s="254"/>
      <c r="I106" s="275"/>
      <c r="J106" s="293"/>
      <c r="K106" s="293"/>
      <c r="M106" s="12" t="s">
        <v>439</v>
      </c>
      <c r="N106" s="12" t="s">
        <v>439</v>
      </c>
      <c r="O106" s="12" t="s">
        <v>439</v>
      </c>
      <c r="P106" s="23" t="s">
        <v>439</v>
      </c>
      <c r="Q106" s="12" t="s">
        <v>439</v>
      </c>
      <c r="R106" s="12" t="s">
        <v>439</v>
      </c>
      <c r="S106" s="12" t="s">
        <v>439</v>
      </c>
      <c r="U106" s="254" t="s">
        <v>439</v>
      </c>
      <c r="V106" s="23" t="s">
        <v>439</v>
      </c>
      <c r="W106" s="282" t="s">
        <v>439</v>
      </c>
      <c r="X106" s="12" t="s">
        <v>439</v>
      </c>
      <c r="Y106" s="12" t="s">
        <v>439</v>
      </c>
      <c r="Z106" s="12" t="s">
        <v>439</v>
      </c>
      <c r="AA106" s="12" t="s">
        <v>439</v>
      </c>
    </row>
    <row r="107" spans="5:27" x14ac:dyDescent="0.2">
      <c r="E107" s="23"/>
      <c r="F107" s="254"/>
      <c r="G107" s="254"/>
      <c r="H107" s="254"/>
      <c r="I107" s="275"/>
      <c r="J107" s="293"/>
      <c r="K107" s="293"/>
      <c r="M107" s="12" t="s">
        <v>439</v>
      </c>
      <c r="N107" s="12" t="s">
        <v>439</v>
      </c>
      <c r="O107" s="12" t="s">
        <v>439</v>
      </c>
      <c r="P107" s="23" t="s">
        <v>439</v>
      </c>
      <c r="Q107" s="12" t="s">
        <v>439</v>
      </c>
      <c r="R107" s="12" t="s">
        <v>439</v>
      </c>
      <c r="S107" s="12" t="s">
        <v>439</v>
      </c>
      <c r="U107" s="254" t="s">
        <v>439</v>
      </c>
      <c r="V107" s="23" t="s">
        <v>439</v>
      </c>
      <c r="W107" s="282" t="s">
        <v>439</v>
      </c>
      <c r="X107" s="12" t="s">
        <v>439</v>
      </c>
      <c r="Y107" s="12" t="s">
        <v>439</v>
      </c>
      <c r="Z107" s="12" t="s">
        <v>439</v>
      </c>
      <c r="AA107" s="12" t="s">
        <v>439</v>
      </c>
    </row>
    <row r="108" spans="5:27" x14ac:dyDescent="0.2">
      <c r="E108" s="23"/>
      <c r="F108" s="254"/>
      <c r="G108" s="254"/>
      <c r="H108" s="254"/>
      <c r="I108" s="275"/>
      <c r="J108" s="293"/>
      <c r="K108" s="293"/>
      <c r="M108" s="12" t="s">
        <v>439</v>
      </c>
      <c r="N108" s="12" t="s">
        <v>439</v>
      </c>
      <c r="O108" s="12" t="s">
        <v>439</v>
      </c>
      <c r="P108" s="23" t="s">
        <v>439</v>
      </c>
      <c r="Q108" s="12" t="s">
        <v>439</v>
      </c>
      <c r="R108" s="12" t="s">
        <v>439</v>
      </c>
      <c r="S108" s="12" t="s">
        <v>439</v>
      </c>
      <c r="U108" s="254" t="s">
        <v>439</v>
      </c>
      <c r="V108" s="23" t="s">
        <v>439</v>
      </c>
      <c r="W108" s="282" t="s">
        <v>439</v>
      </c>
      <c r="X108" s="12" t="s">
        <v>439</v>
      </c>
      <c r="Y108" s="12" t="s">
        <v>439</v>
      </c>
      <c r="Z108" s="12" t="s">
        <v>439</v>
      </c>
      <c r="AA108" s="12" t="s">
        <v>439</v>
      </c>
    </row>
    <row r="109" spans="5:27" x14ac:dyDescent="0.2">
      <c r="E109" s="23"/>
      <c r="F109" s="24"/>
      <c r="G109" s="254"/>
      <c r="H109" s="254"/>
      <c r="I109" s="275"/>
      <c r="J109" s="293"/>
      <c r="K109" s="293"/>
      <c r="M109" s="12" t="s">
        <v>439</v>
      </c>
      <c r="N109" s="12" t="s">
        <v>439</v>
      </c>
      <c r="O109" s="12" t="s">
        <v>439</v>
      </c>
      <c r="P109" s="23" t="s">
        <v>439</v>
      </c>
      <c r="Q109" s="12" t="s">
        <v>439</v>
      </c>
      <c r="R109" s="12" t="s">
        <v>439</v>
      </c>
      <c r="S109" s="12" t="s">
        <v>439</v>
      </c>
      <c r="U109" s="254" t="s">
        <v>439</v>
      </c>
      <c r="V109" s="23" t="s">
        <v>439</v>
      </c>
      <c r="W109" s="282" t="s">
        <v>439</v>
      </c>
      <c r="X109" s="12" t="s">
        <v>439</v>
      </c>
      <c r="Y109" s="12" t="s">
        <v>439</v>
      </c>
      <c r="Z109" s="12" t="s">
        <v>439</v>
      </c>
      <c r="AA109" s="12" t="s">
        <v>439</v>
      </c>
    </row>
    <row r="110" spans="5:27" x14ac:dyDescent="0.2">
      <c r="E110" s="23"/>
      <c r="F110" s="24"/>
      <c r="G110" s="24"/>
      <c r="H110" s="23"/>
      <c r="I110" s="5"/>
      <c r="J110" s="294"/>
      <c r="K110" s="294"/>
      <c r="M110" s="12" t="s">
        <v>439</v>
      </c>
      <c r="N110" s="12" t="s">
        <v>439</v>
      </c>
      <c r="O110" s="12" t="s">
        <v>439</v>
      </c>
      <c r="P110" s="23" t="s">
        <v>439</v>
      </c>
      <c r="Q110" s="12" t="s">
        <v>439</v>
      </c>
      <c r="R110" s="12" t="s">
        <v>439</v>
      </c>
      <c r="S110" s="12" t="s">
        <v>439</v>
      </c>
      <c r="U110" s="254" t="s">
        <v>439</v>
      </c>
      <c r="V110" s="23" t="s">
        <v>439</v>
      </c>
      <c r="W110" s="282" t="s">
        <v>439</v>
      </c>
      <c r="X110" s="12" t="s">
        <v>439</v>
      </c>
      <c r="Y110" s="12" t="s">
        <v>439</v>
      </c>
      <c r="Z110" s="12" t="s">
        <v>439</v>
      </c>
      <c r="AA110" s="12" t="s">
        <v>439</v>
      </c>
    </row>
    <row r="111" spans="5:27" x14ac:dyDescent="0.2">
      <c r="E111" s="23"/>
      <c r="F111" s="24"/>
      <c r="G111" s="24"/>
      <c r="H111" s="23"/>
      <c r="I111" s="5"/>
      <c r="J111" s="294"/>
      <c r="K111" s="294"/>
      <c r="M111" s="12" t="s">
        <v>439</v>
      </c>
      <c r="N111" s="12" t="s">
        <v>439</v>
      </c>
      <c r="O111" s="12" t="s">
        <v>439</v>
      </c>
      <c r="P111" s="23" t="s">
        <v>439</v>
      </c>
      <c r="Q111" s="12" t="s">
        <v>439</v>
      </c>
      <c r="R111" s="12" t="s">
        <v>439</v>
      </c>
      <c r="S111" s="12" t="s">
        <v>439</v>
      </c>
      <c r="U111" s="254" t="s">
        <v>439</v>
      </c>
      <c r="V111" s="23" t="s">
        <v>439</v>
      </c>
      <c r="W111" s="282" t="s">
        <v>439</v>
      </c>
      <c r="X111" s="12" t="s">
        <v>439</v>
      </c>
      <c r="Y111" s="12" t="s">
        <v>439</v>
      </c>
      <c r="Z111" s="12" t="s">
        <v>439</v>
      </c>
      <c r="AA111" s="12" t="s">
        <v>439</v>
      </c>
    </row>
    <row r="112" spans="5:27" x14ac:dyDescent="0.2">
      <c r="E112" s="23"/>
      <c r="F112" s="24"/>
      <c r="G112" s="24"/>
      <c r="H112" s="23"/>
      <c r="I112" s="5"/>
      <c r="J112" s="294"/>
      <c r="K112" s="294"/>
      <c r="M112" s="12" t="s">
        <v>439</v>
      </c>
      <c r="N112" s="12" t="s">
        <v>439</v>
      </c>
      <c r="O112" s="12" t="s">
        <v>439</v>
      </c>
      <c r="P112" s="23" t="s">
        <v>439</v>
      </c>
      <c r="Q112" s="12" t="s">
        <v>439</v>
      </c>
      <c r="R112" s="12" t="s">
        <v>439</v>
      </c>
      <c r="S112" s="12" t="s">
        <v>439</v>
      </c>
      <c r="U112" s="254" t="s">
        <v>439</v>
      </c>
      <c r="V112" s="23" t="s">
        <v>439</v>
      </c>
      <c r="W112" s="282" t="s">
        <v>439</v>
      </c>
      <c r="X112" s="12" t="s">
        <v>439</v>
      </c>
      <c r="Y112" s="12" t="s">
        <v>439</v>
      </c>
      <c r="Z112" s="12" t="s">
        <v>439</v>
      </c>
      <c r="AA112" s="12" t="s">
        <v>439</v>
      </c>
    </row>
    <row r="113" spans="5:27" x14ac:dyDescent="0.2">
      <c r="E113" s="23"/>
      <c r="F113" s="24"/>
      <c r="G113" s="24"/>
      <c r="H113" s="23"/>
      <c r="I113" s="5"/>
      <c r="J113" s="294"/>
      <c r="K113" s="294"/>
      <c r="M113" s="12" t="s">
        <v>439</v>
      </c>
      <c r="N113" s="12" t="s">
        <v>439</v>
      </c>
      <c r="O113" s="12" t="s">
        <v>439</v>
      </c>
      <c r="P113" s="23" t="s">
        <v>439</v>
      </c>
      <c r="Q113" s="12" t="s">
        <v>439</v>
      </c>
      <c r="R113" s="12" t="s">
        <v>439</v>
      </c>
      <c r="S113" s="12" t="s">
        <v>439</v>
      </c>
      <c r="U113" s="254" t="s">
        <v>439</v>
      </c>
      <c r="V113" s="23" t="s">
        <v>439</v>
      </c>
      <c r="W113" s="282" t="s">
        <v>439</v>
      </c>
      <c r="X113" s="12" t="s">
        <v>439</v>
      </c>
      <c r="Y113" s="12" t="s">
        <v>439</v>
      </c>
      <c r="Z113" s="12" t="s">
        <v>439</v>
      </c>
      <c r="AA113" s="12" t="s">
        <v>439</v>
      </c>
    </row>
    <row r="114" spans="5:27" x14ac:dyDescent="0.2">
      <c r="E114" s="12"/>
      <c r="F114" s="24"/>
      <c r="G114" s="24"/>
      <c r="H114" s="23"/>
      <c r="I114" s="5"/>
      <c r="J114" s="294"/>
      <c r="K114" s="294"/>
      <c r="M114" s="12" t="s">
        <v>439</v>
      </c>
      <c r="N114" s="12" t="s">
        <v>439</v>
      </c>
      <c r="O114" s="12" t="s">
        <v>439</v>
      </c>
      <c r="P114" s="23" t="s">
        <v>439</v>
      </c>
      <c r="Q114" s="12" t="s">
        <v>439</v>
      </c>
      <c r="R114" s="12" t="s">
        <v>439</v>
      </c>
      <c r="S114" s="12" t="s">
        <v>439</v>
      </c>
      <c r="U114" s="254" t="s">
        <v>439</v>
      </c>
      <c r="V114" s="23" t="s">
        <v>439</v>
      </c>
      <c r="W114" s="282" t="s">
        <v>439</v>
      </c>
      <c r="X114" s="12" t="s">
        <v>439</v>
      </c>
      <c r="Y114" s="12" t="s">
        <v>439</v>
      </c>
      <c r="Z114" s="12" t="s">
        <v>439</v>
      </c>
      <c r="AA114" s="12" t="s">
        <v>439</v>
      </c>
    </row>
    <row r="115" spans="5:27" x14ac:dyDescent="0.2">
      <c r="E115" s="12"/>
      <c r="F115" s="24"/>
      <c r="G115" s="24"/>
      <c r="H115" s="23"/>
      <c r="I115" s="5"/>
      <c r="J115" s="294"/>
      <c r="K115" s="294"/>
      <c r="M115" s="12" t="s">
        <v>439</v>
      </c>
      <c r="N115" s="12" t="s">
        <v>439</v>
      </c>
      <c r="O115" s="12" t="s">
        <v>439</v>
      </c>
      <c r="P115" s="23" t="s">
        <v>439</v>
      </c>
      <c r="Q115" s="12" t="s">
        <v>439</v>
      </c>
      <c r="R115" s="12" t="s">
        <v>439</v>
      </c>
      <c r="S115" s="12" t="s">
        <v>439</v>
      </c>
      <c r="U115" s="254" t="s">
        <v>439</v>
      </c>
      <c r="V115" s="23" t="s">
        <v>439</v>
      </c>
      <c r="W115" s="282" t="s">
        <v>439</v>
      </c>
      <c r="X115" s="12" t="s">
        <v>439</v>
      </c>
      <c r="Y115" s="12" t="s">
        <v>439</v>
      </c>
      <c r="Z115" s="12" t="s">
        <v>439</v>
      </c>
      <c r="AA115" s="12" t="s">
        <v>439</v>
      </c>
    </row>
    <row r="116" spans="5:27" x14ac:dyDescent="0.2">
      <c r="E116" s="12"/>
      <c r="F116" s="24"/>
      <c r="G116" s="24"/>
      <c r="H116" s="23"/>
      <c r="I116" s="5"/>
      <c r="J116" s="294"/>
      <c r="K116" s="294"/>
      <c r="M116" s="12" t="s">
        <v>439</v>
      </c>
      <c r="N116" s="12" t="s">
        <v>439</v>
      </c>
      <c r="O116" s="12" t="s">
        <v>439</v>
      </c>
      <c r="P116" s="23" t="s">
        <v>439</v>
      </c>
      <c r="Q116" s="12" t="s">
        <v>439</v>
      </c>
      <c r="R116" s="12" t="s">
        <v>439</v>
      </c>
      <c r="S116" s="12" t="s">
        <v>439</v>
      </c>
      <c r="U116" s="254" t="s">
        <v>439</v>
      </c>
      <c r="V116" s="23" t="s">
        <v>439</v>
      </c>
      <c r="W116" s="282" t="s">
        <v>439</v>
      </c>
      <c r="X116" s="12" t="s">
        <v>439</v>
      </c>
      <c r="Y116" s="12" t="s">
        <v>439</v>
      </c>
      <c r="Z116" s="12" t="s">
        <v>439</v>
      </c>
      <c r="AA116" s="12" t="s">
        <v>439</v>
      </c>
    </row>
    <row r="117" spans="5:27" x14ac:dyDescent="0.2">
      <c r="E117" s="12"/>
      <c r="F117" s="24"/>
      <c r="G117" s="24"/>
      <c r="H117" s="23"/>
      <c r="I117" s="5"/>
      <c r="J117" s="294"/>
      <c r="K117" s="294"/>
      <c r="M117" s="12" t="s">
        <v>439</v>
      </c>
      <c r="N117" s="12" t="s">
        <v>439</v>
      </c>
      <c r="O117" s="12" t="s">
        <v>439</v>
      </c>
      <c r="P117" s="23" t="s">
        <v>439</v>
      </c>
      <c r="Q117" s="12" t="s">
        <v>439</v>
      </c>
      <c r="R117" s="12" t="s">
        <v>439</v>
      </c>
      <c r="S117" s="12" t="s">
        <v>439</v>
      </c>
      <c r="U117" s="254" t="s">
        <v>439</v>
      </c>
      <c r="V117" s="23" t="s">
        <v>439</v>
      </c>
      <c r="W117" s="282" t="s">
        <v>439</v>
      </c>
      <c r="X117" s="12" t="s">
        <v>439</v>
      </c>
      <c r="Y117" s="12" t="s">
        <v>439</v>
      </c>
      <c r="Z117" s="12" t="s">
        <v>439</v>
      </c>
      <c r="AA117" s="12" t="s">
        <v>439</v>
      </c>
    </row>
    <row r="118" spans="5:27" x14ac:dyDescent="0.2">
      <c r="E118" s="12"/>
      <c r="F118" s="24"/>
      <c r="G118" s="24"/>
      <c r="H118" s="23"/>
      <c r="I118" s="5"/>
      <c r="J118" s="294"/>
      <c r="K118" s="294"/>
      <c r="M118" s="12" t="s">
        <v>439</v>
      </c>
      <c r="N118" s="12" t="s">
        <v>439</v>
      </c>
      <c r="O118" s="12" t="s">
        <v>439</v>
      </c>
      <c r="P118" s="23" t="s">
        <v>439</v>
      </c>
      <c r="Q118" s="12" t="s">
        <v>439</v>
      </c>
      <c r="R118" s="12" t="s">
        <v>439</v>
      </c>
      <c r="S118" s="12" t="s">
        <v>439</v>
      </c>
      <c r="U118" s="254" t="s">
        <v>439</v>
      </c>
      <c r="V118" s="23" t="s">
        <v>439</v>
      </c>
      <c r="W118" s="282" t="s">
        <v>439</v>
      </c>
      <c r="X118" s="12" t="s">
        <v>439</v>
      </c>
      <c r="Y118" s="12" t="s">
        <v>439</v>
      </c>
      <c r="Z118" s="12" t="s">
        <v>439</v>
      </c>
      <c r="AA118" s="12" t="s">
        <v>439</v>
      </c>
    </row>
    <row r="119" spans="5:27" x14ac:dyDescent="0.2">
      <c r="E119" s="12"/>
      <c r="F119" s="24"/>
      <c r="G119" s="24"/>
      <c r="H119" s="23"/>
      <c r="I119" s="5"/>
      <c r="J119" s="294"/>
      <c r="K119" s="294"/>
      <c r="M119" s="12" t="s">
        <v>439</v>
      </c>
      <c r="N119" s="12" t="s">
        <v>439</v>
      </c>
      <c r="O119" s="12" t="s">
        <v>439</v>
      </c>
      <c r="P119" s="23" t="s">
        <v>439</v>
      </c>
      <c r="Q119" s="12" t="s">
        <v>439</v>
      </c>
      <c r="R119" s="12" t="s">
        <v>439</v>
      </c>
      <c r="S119" s="12" t="s">
        <v>439</v>
      </c>
      <c r="U119" s="254" t="s">
        <v>439</v>
      </c>
      <c r="V119" s="23" t="s">
        <v>439</v>
      </c>
      <c r="W119" s="282" t="s">
        <v>439</v>
      </c>
      <c r="X119" s="12" t="s">
        <v>439</v>
      </c>
      <c r="Y119" s="12" t="s">
        <v>439</v>
      </c>
      <c r="Z119" s="12" t="s">
        <v>439</v>
      </c>
      <c r="AA119" s="12" t="s">
        <v>439</v>
      </c>
    </row>
    <row r="120" spans="5:27" x14ac:dyDescent="0.2">
      <c r="E120" s="12"/>
      <c r="F120" s="24"/>
      <c r="G120" s="24"/>
      <c r="H120" s="23"/>
      <c r="I120" s="5"/>
      <c r="J120" s="294"/>
      <c r="K120" s="294"/>
      <c r="M120" s="12" t="s">
        <v>439</v>
      </c>
      <c r="N120" s="12" t="s">
        <v>439</v>
      </c>
      <c r="O120" s="12" t="s">
        <v>439</v>
      </c>
      <c r="P120" s="23" t="s">
        <v>439</v>
      </c>
      <c r="Q120" s="12" t="s">
        <v>439</v>
      </c>
      <c r="R120" s="12" t="s">
        <v>439</v>
      </c>
      <c r="S120" s="12" t="s">
        <v>439</v>
      </c>
      <c r="U120" s="254" t="s">
        <v>439</v>
      </c>
      <c r="V120" s="23" t="s">
        <v>439</v>
      </c>
      <c r="W120" s="282" t="s">
        <v>439</v>
      </c>
      <c r="X120" s="12" t="s">
        <v>439</v>
      </c>
      <c r="Y120" s="12" t="s">
        <v>439</v>
      </c>
      <c r="Z120" s="12" t="s">
        <v>439</v>
      </c>
      <c r="AA120" s="12" t="s">
        <v>439</v>
      </c>
    </row>
    <row r="121" spans="5:27" x14ac:dyDescent="0.2">
      <c r="E121" s="12"/>
      <c r="F121" s="24"/>
      <c r="G121" s="24"/>
      <c r="H121" s="23"/>
      <c r="I121" s="5"/>
      <c r="J121" s="294"/>
      <c r="K121" s="294"/>
      <c r="M121" s="12" t="s">
        <v>439</v>
      </c>
      <c r="N121" s="12" t="s">
        <v>439</v>
      </c>
      <c r="O121" s="12" t="s">
        <v>439</v>
      </c>
      <c r="P121" s="23" t="s">
        <v>439</v>
      </c>
      <c r="Q121" s="12" t="s">
        <v>439</v>
      </c>
      <c r="R121" s="12" t="s">
        <v>439</v>
      </c>
      <c r="S121" s="12" t="s">
        <v>439</v>
      </c>
      <c r="U121" s="254" t="s">
        <v>439</v>
      </c>
      <c r="V121" s="23" t="s">
        <v>439</v>
      </c>
      <c r="W121" s="282" t="s">
        <v>439</v>
      </c>
      <c r="X121" s="12" t="s">
        <v>439</v>
      </c>
      <c r="Y121" s="12" t="s">
        <v>439</v>
      </c>
      <c r="Z121" s="12" t="s">
        <v>439</v>
      </c>
      <c r="AA121" s="12" t="s">
        <v>439</v>
      </c>
    </row>
    <row r="122" spans="5:27" x14ac:dyDescent="0.2">
      <c r="E122" s="12"/>
      <c r="F122" s="24"/>
      <c r="G122" s="24"/>
      <c r="H122" s="23"/>
      <c r="I122" s="5"/>
      <c r="J122" s="294"/>
      <c r="K122" s="294"/>
      <c r="M122" s="12" t="s">
        <v>439</v>
      </c>
      <c r="N122" s="12" t="s">
        <v>439</v>
      </c>
      <c r="O122" s="12" t="s">
        <v>439</v>
      </c>
      <c r="P122" s="23" t="s">
        <v>439</v>
      </c>
      <c r="Q122" s="12" t="s">
        <v>439</v>
      </c>
      <c r="R122" s="12" t="s">
        <v>439</v>
      </c>
      <c r="S122" s="12" t="s">
        <v>439</v>
      </c>
      <c r="U122" s="254" t="s">
        <v>439</v>
      </c>
      <c r="V122" s="23" t="s">
        <v>439</v>
      </c>
      <c r="W122" s="282" t="s">
        <v>439</v>
      </c>
      <c r="X122" s="12" t="s">
        <v>439</v>
      </c>
      <c r="Y122" s="12" t="s">
        <v>439</v>
      </c>
      <c r="Z122" s="12" t="s">
        <v>439</v>
      </c>
      <c r="AA122" s="12" t="s">
        <v>439</v>
      </c>
    </row>
    <row r="123" spans="5:27" x14ac:dyDescent="0.2">
      <c r="E123" s="12"/>
      <c r="F123" s="24"/>
      <c r="G123" s="24"/>
      <c r="H123" s="23"/>
      <c r="I123" s="5"/>
      <c r="J123" s="294"/>
      <c r="K123" s="294"/>
      <c r="M123" s="12" t="s">
        <v>439</v>
      </c>
      <c r="N123" s="12" t="s">
        <v>439</v>
      </c>
      <c r="O123" s="12" t="s">
        <v>439</v>
      </c>
      <c r="P123" s="23" t="s">
        <v>439</v>
      </c>
      <c r="Q123" s="12" t="s">
        <v>439</v>
      </c>
      <c r="R123" s="12" t="s">
        <v>439</v>
      </c>
      <c r="S123" s="12" t="s">
        <v>439</v>
      </c>
      <c r="U123" s="254" t="s">
        <v>439</v>
      </c>
      <c r="V123" s="23" t="s">
        <v>439</v>
      </c>
      <c r="W123" s="282" t="s">
        <v>439</v>
      </c>
      <c r="X123" s="12" t="s">
        <v>439</v>
      </c>
      <c r="Y123" s="12" t="s">
        <v>439</v>
      </c>
      <c r="Z123" s="12" t="s">
        <v>439</v>
      </c>
      <c r="AA123" s="12" t="s">
        <v>439</v>
      </c>
    </row>
    <row r="124" spans="5:27" x14ac:dyDescent="0.2">
      <c r="E124" s="12"/>
      <c r="F124" s="24"/>
      <c r="G124" s="24"/>
      <c r="H124" s="23"/>
      <c r="I124" s="5"/>
      <c r="J124" s="294"/>
      <c r="K124" s="294"/>
      <c r="M124" s="12" t="s">
        <v>439</v>
      </c>
      <c r="N124" s="12" t="s">
        <v>439</v>
      </c>
      <c r="O124" s="12" t="s">
        <v>439</v>
      </c>
      <c r="P124" s="23" t="s">
        <v>439</v>
      </c>
      <c r="Q124" s="12" t="s">
        <v>439</v>
      </c>
      <c r="R124" s="12" t="s">
        <v>439</v>
      </c>
      <c r="S124" s="12" t="s">
        <v>439</v>
      </c>
      <c r="U124" s="254" t="s">
        <v>439</v>
      </c>
      <c r="V124" s="23" t="s">
        <v>439</v>
      </c>
      <c r="W124" s="282" t="s">
        <v>439</v>
      </c>
      <c r="X124" s="12" t="s">
        <v>439</v>
      </c>
      <c r="Y124" s="12" t="s">
        <v>439</v>
      </c>
      <c r="Z124" s="12" t="s">
        <v>439</v>
      </c>
      <c r="AA124" s="12" t="s">
        <v>439</v>
      </c>
    </row>
    <row r="125" spans="5:27" x14ac:dyDescent="0.2">
      <c r="E125" s="12"/>
      <c r="F125" s="24"/>
      <c r="G125" s="24"/>
      <c r="H125" s="23"/>
      <c r="I125" s="5"/>
      <c r="J125" s="294"/>
      <c r="K125" s="294"/>
      <c r="M125" s="12" t="s">
        <v>439</v>
      </c>
      <c r="N125" s="12" t="s">
        <v>439</v>
      </c>
      <c r="O125" s="12" t="s">
        <v>439</v>
      </c>
      <c r="P125" s="23" t="s">
        <v>439</v>
      </c>
      <c r="Q125" s="12" t="s">
        <v>439</v>
      </c>
      <c r="R125" s="12" t="s">
        <v>439</v>
      </c>
      <c r="S125" s="12" t="s">
        <v>439</v>
      </c>
      <c r="U125" s="254" t="s">
        <v>439</v>
      </c>
      <c r="V125" s="23" t="s">
        <v>439</v>
      </c>
      <c r="W125" s="282" t="s">
        <v>439</v>
      </c>
      <c r="X125" s="12" t="s">
        <v>439</v>
      </c>
      <c r="Y125" s="12" t="s">
        <v>439</v>
      </c>
      <c r="Z125" s="12" t="s">
        <v>439</v>
      </c>
      <c r="AA125" s="12" t="s">
        <v>439</v>
      </c>
    </row>
    <row r="126" spans="5:27" x14ac:dyDescent="0.2">
      <c r="E126" s="12"/>
      <c r="F126" s="24"/>
      <c r="G126" s="24"/>
      <c r="H126" s="12"/>
      <c r="I126" s="5"/>
      <c r="J126" s="294"/>
      <c r="K126" s="294"/>
      <c r="M126" s="12" t="s">
        <v>439</v>
      </c>
      <c r="N126" s="12" t="s">
        <v>439</v>
      </c>
      <c r="O126" s="12" t="s">
        <v>439</v>
      </c>
      <c r="P126" s="23" t="s">
        <v>439</v>
      </c>
      <c r="Q126" s="12" t="s">
        <v>439</v>
      </c>
      <c r="R126" s="12" t="s">
        <v>439</v>
      </c>
      <c r="S126" s="12" t="s">
        <v>439</v>
      </c>
      <c r="U126" s="254" t="s">
        <v>439</v>
      </c>
      <c r="V126" s="23" t="s">
        <v>439</v>
      </c>
      <c r="W126" s="282" t="s">
        <v>439</v>
      </c>
      <c r="X126" s="12" t="s">
        <v>439</v>
      </c>
      <c r="Y126" s="12" t="s">
        <v>439</v>
      </c>
      <c r="Z126" s="12" t="s">
        <v>439</v>
      </c>
      <c r="AA126" s="12" t="s">
        <v>439</v>
      </c>
    </row>
    <row r="127" spans="5:27" x14ac:dyDescent="0.2">
      <c r="E127" s="12"/>
      <c r="F127" s="24"/>
      <c r="G127" s="24"/>
      <c r="H127" s="12"/>
      <c r="I127" s="5"/>
      <c r="J127" s="294"/>
      <c r="K127" s="294"/>
      <c r="M127" s="12" t="s">
        <v>439</v>
      </c>
      <c r="N127" s="12" t="s">
        <v>439</v>
      </c>
      <c r="O127" s="12" t="s">
        <v>439</v>
      </c>
      <c r="P127" s="23" t="s">
        <v>439</v>
      </c>
      <c r="Q127" s="12" t="s">
        <v>439</v>
      </c>
      <c r="R127" s="12" t="s">
        <v>439</v>
      </c>
      <c r="S127" s="12" t="s">
        <v>439</v>
      </c>
      <c r="U127" s="254" t="s">
        <v>439</v>
      </c>
      <c r="V127" s="23" t="s">
        <v>439</v>
      </c>
      <c r="W127" s="282" t="s">
        <v>439</v>
      </c>
      <c r="X127" s="12" t="s">
        <v>439</v>
      </c>
      <c r="Y127" s="12" t="s">
        <v>439</v>
      </c>
      <c r="Z127" s="12" t="s">
        <v>439</v>
      </c>
      <c r="AA127" s="12" t="s">
        <v>439</v>
      </c>
    </row>
    <row r="128" spans="5:27" x14ac:dyDescent="0.2">
      <c r="E128" s="12"/>
      <c r="F128" s="24"/>
      <c r="G128" s="24"/>
      <c r="H128" s="12"/>
      <c r="I128" s="5"/>
      <c r="J128" s="294"/>
      <c r="K128" s="294"/>
      <c r="M128" s="12" t="s">
        <v>439</v>
      </c>
      <c r="N128" s="12" t="s">
        <v>439</v>
      </c>
      <c r="O128" s="12" t="s">
        <v>439</v>
      </c>
      <c r="P128" s="12" t="s">
        <v>439</v>
      </c>
      <c r="Q128" s="12" t="s">
        <v>439</v>
      </c>
      <c r="R128" s="12" t="s">
        <v>439</v>
      </c>
      <c r="S128" s="12" t="s">
        <v>439</v>
      </c>
      <c r="U128" s="254" t="s">
        <v>439</v>
      </c>
      <c r="V128" s="23" t="s">
        <v>439</v>
      </c>
      <c r="W128" s="282" t="s">
        <v>439</v>
      </c>
      <c r="X128" s="12" t="s">
        <v>439</v>
      </c>
      <c r="Y128" s="12" t="s">
        <v>439</v>
      </c>
      <c r="Z128" s="12" t="s">
        <v>439</v>
      </c>
      <c r="AA128" s="12" t="s">
        <v>439</v>
      </c>
    </row>
    <row r="129" spans="5:27" x14ac:dyDescent="0.2">
      <c r="E129" s="12"/>
      <c r="F129" s="24"/>
      <c r="G129" s="24"/>
      <c r="H129" s="12"/>
      <c r="I129" s="5"/>
      <c r="J129" s="294"/>
      <c r="K129" s="294"/>
      <c r="M129" s="10" t="s">
        <v>439</v>
      </c>
      <c r="N129" s="10" t="s">
        <v>439</v>
      </c>
      <c r="O129" s="10" t="s">
        <v>439</v>
      </c>
      <c r="P129" s="10" t="s">
        <v>439</v>
      </c>
      <c r="Q129" s="10" t="s">
        <v>439</v>
      </c>
      <c r="R129" s="10" t="s">
        <v>439</v>
      </c>
      <c r="S129" s="10" t="s">
        <v>439</v>
      </c>
      <c r="U129" s="254" t="s">
        <v>439</v>
      </c>
      <c r="V129" s="23" t="s">
        <v>439</v>
      </c>
      <c r="W129" s="282" t="s">
        <v>439</v>
      </c>
      <c r="X129" s="12" t="s">
        <v>439</v>
      </c>
      <c r="Y129" s="12" t="s">
        <v>439</v>
      </c>
      <c r="Z129" s="12" t="s">
        <v>439</v>
      </c>
      <c r="AA129" s="12" t="s">
        <v>439</v>
      </c>
    </row>
    <row r="130" spans="5:27" x14ac:dyDescent="0.2">
      <c r="E130" s="12"/>
      <c r="F130" s="24"/>
      <c r="G130" s="24"/>
      <c r="H130" s="12"/>
      <c r="I130" s="5"/>
      <c r="J130" s="294"/>
      <c r="K130" s="294"/>
      <c r="M130" s="10" t="s">
        <v>439</v>
      </c>
      <c r="N130" s="10" t="s">
        <v>439</v>
      </c>
      <c r="O130" s="10" t="s">
        <v>439</v>
      </c>
      <c r="P130" s="10" t="s">
        <v>439</v>
      </c>
      <c r="Q130" s="10" t="s">
        <v>439</v>
      </c>
      <c r="R130" s="10" t="s">
        <v>439</v>
      </c>
      <c r="S130" s="10" t="s">
        <v>439</v>
      </c>
      <c r="U130" s="254" t="s">
        <v>439</v>
      </c>
      <c r="V130" s="23" t="s">
        <v>439</v>
      </c>
      <c r="W130" s="282" t="s">
        <v>439</v>
      </c>
      <c r="X130" s="12" t="s">
        <v>439</v>
      </c>
      <c r="Y130" s="12" t="s">
        <v>439</v>
      </c>
      <c r="Z130" s="12" t="s">
        <v>439</v>
      </c>
      <c r="AA130" s="12" t="s">
        <v>439</v>
      </c>
    </row>
    <row r="131" spans="5:27" x14ac:dyDescent="0.2">
      <c r="E131" s="12"/>
      <c r="F131" s="24"/>
      <c r="G131" s="24"/>
      <c r="H131" s="12"/>
      <c r="I131" s="5"/>
      <c r="J131" s="294"/>
      <c r="K131" s="294"/>
      <c r="M131" s="10" t="s">
        <v>439</v>
      </c>
      <c r="N131" s="10" t="s">
        <v>439</v>
      </c>
      <c r="O131" s="10" t="s">
        <v>439</v>
      </c>
      <c r="P131" s="10" t="s">
        <v>439</v>
      </c>
      <c r="Q131" s="10" t="s">
        <v>439</v>
      </c>
      <c r="R131" s="10" t="s">
        <v>439</v>
      </c>
      <c r="S131" s="10" t="s">
        <v>439</v>
      </c>
      <c r="U131" s="254" t="s">
        <v>439</v>
      </c>
      <c r="V131" s="23" t="s">
        <v>439</v>
      </c>
      <c r="W131" s="282" t="s">
        <v>439</v>
      </c>
      <c r="X131" s="12" t="s">
        <v>439</v>
      </c>
      <c r="Y131" s="12" t="s">
        <v>439</v>
      </c>
      <c r="Z131" s="12" t="s">
        <v>439</v>
      </c>
      <c r="AA131" s="12" t="s">
        <v>439</v>
      </c>
    </row>
    <row r="132" spans="5:27" x14ac:dyDescent="0.2">
      <c r="E132" s="12"/>
      <c r="F132" s="24"/>
      <c r="G132" s="24"/>
      <c r="H132" s="12"/>
      <c r="I132" s="5"/>
      <c r="J132" s="294"/>
      <c r="K132" s="294"/>
      <c r="M132" s="10" t="s">
        <v>439</v>
      </c>
      <c r="N132" s="10" t="s">
        <v>439</v>
      </c>
      <c r="O132" s="10" t="s">
        <v>439</v>
      </c>
      <c r="P132" s="10" t="s">
        <v>439</v>
      </c>
      <c r="Q132" s="10" t="s">
        <v>439</v>
      </c>
      <c r="R132" s="10" t="s">
        <v>439</v>
      </c>
      <c r="S132" s="10" t="s">
        <v>439</v>
      </c>
      <c r="U132" s="254" t="s">
        <v>439</v>
      </c>
      <c r="V132" s="23" t="s">
        <v>439</v>
      </c>
      <c r="W132" s="282" t="s">
        <v>439</v>
      </c>
      <c r="X132" s="12" t="s">
        <v>439</v>
      </c>
      <c r="Y132" s="12" t="s">
        <v>439</v>
      </c>
      <c r="Z132" s="12" t="s">
        <v>439</v>
      </c>
      <c r="AA132" s="12" t="s">
        <v>439</v>
      </c>
    </row>
    <row r="133" spans="5:27" x14ac:dyDescent="0.2">
      <c r="E133" s="12"/>
      <c r="F133" s="24"/>
      <c r="G133" s="24"/>
      <c r="H133" s="12"/>
      <c r="I133" s="5"/>
      <c r="J133" s="294"/>
      <c r="K133" s="294"/>
      <c r="M133" s="10" t="s">
        <v>439</v>
      </c>
      <c r="N133" s="10" t="s">
        <v>439</v>
      </c>
      <c r="O133" s="10" t="s">
        <v>439</v>
      </c>
      <c r="P133" s="10" t="s">
        <v>439</v>
      </c>
      <c r="Q133" s="10" t="s">
        <v>439</v>
      </c>
      <c r="R133" s="10" t="s">
        <v>439</v>
      </c>
      <c r="S133" s="10" t="s">
        <v>439</v>
      </c>
      <c r="U133" s="254" t="s">
        <v>439</v>
      </c>
      <c r="V133" s="23" t="s">
        <v>439</v>
      </c>
      <c r="W133" s="282" t="s">
        <v>439</v>
      </c>
      <c r="X133" s="12" t="s">
        <v>439</v>
      </c>
      <c r="Y133" s="12" t="s">
        <v>439</v>
      </c>
      <c r="Z133" s="12" t="s">
        <v>439</v>
      </c>
      <c r="AA133" s="12" t="s">
        <v>439</v>
      </c>
    </row>
    <row r="134" spans="5:27" x14ac:dyDescent="0.2">
      <c r="E134" s="12"/>
      <c r="F134" s="24"/>
      <c r="G134" s="24"/>
      <c r="H134" s="12"/>
      <c r="I134" s="5"/>
      <c r="J134" s="294"/>
      <c r="K134" s="294"/>
      <c r="M134" s="10" t="s">
        <v>439</v>
      </c>
      <c r="N134" s="10" t="s">
        <v>439</v>
      </c>
      <c r="O134" s="10" t="s">
        <v>439</v>
      </c>
      <c r="P134" s="10" t="s">
        <v>439</v>
      </c>
      <c r="Q134" s="10" t="s">
        <v>439</v>
      </c>
      <c r="R134" s="10" t="s">
        <v>439</v>
      </c>
      <c r="S134" s="10" t="s">
        <v>439</v>
      </c>
      <c r="U134" s="254" t="s">
        <v>439</v>
      </c>
      <c r="V134" s="23" t="s">
        <v>439</v>
      </c>
      <c r="W134" s="282" t="s">
        <v>439</v>
      </c>
      <c r="X134" s="12" t="s">
        <v>439</v>
      </c>
      <c r="Y134" s="12" t="s">
        <v>439</v>
      </c>
      <c r="Z134" s="12" t="s">
        <v>439</v>
      </c>
      <c r="AA134" s="12" t="s">
        <v>439</v>
      </c>
    </row>
    <row r="135" spans="5:27" x14ac:dyDescent="0.2">
      <c r="I135" s="4"/>
      <c r="M135" s="10" t="s">
        <v>439</v>
      </c>
      <c r="N135" s="10" t="s">
        <v>439</v>
      </c>
      <c r="O135" s="10" t="s">
        <v>439</v>
      </c>
      <c r="P135" s="10" t="s">
        <v>439</v>
      </c>
      <c r="Q135" s="10" t="s">
        <v>439</v>
      </c>
      <c r="R135" s="10" t="s">
        <v>439</v>
      </c>
      <c r="S135" s="10" t="s">
        <v>439</v>
      </c>
      <c r="U135" s="254" t="s">
        <v>439</v>
      </c>
      <c r="V135" s="23" t="s">
        <v>439</v>
      </c>
      <c r="W135" s="282" t="s">
        <v>439</v>
      </c>
      <c r="X135" s="12" t="s">
        <v>439</v>
      </c>
      <c r="Y135" s="12" t="s">
        <v>439</v>
      </c>
      <c r="Z135" s="12" t="s">
        <v>439</v>
      </c>
      <c r="AA135" s="12" t="s">
        <v>439</v>
      </c>
    </row>
    <row r="136" spans="5:27" x14ac:dyDescent="0.2">
      <c r="I136" s="4"/>
      <c r="M136" s="10" t="s">
        <v>439</v>
      </c>
      <c r="N136" s="10" t="s">
        <v>439</v>
      </c>
      <c r="O136" s="10" t="s">
        <v>439</v>
      </c>
      <c r="P136" s="10" t="s">
        <v>439</v>
      </c>
      <c r="Q136" s="10" t="s">
        <v>439</v>
      </c>
      <c r="R136" s="10" t="s">
        <v>439</v>
      </c>
      <c r="S136" s="10" t="s">
        <v>439</v>
      </c>
      <c r="U136" s="254" t="s">
        <v>439</v>
      </c>
      <c r="V136" s="23" t="s">
        <v>439</v>
      </c>
      <c r="W136" s="282" t="s">
        <v>439</v>
      </c>
      <c r="X136" s="12" t="s">
        <v>439</v>
      </c>
      <c r="Y136" s="12" t="s">
        <v>439</v>
      </c>
      <c r="Z136" s="12" t="s">
        <v>439</v>
      </c>
      <c r="AA136" s="12" t="s">
        <v>439</v>
      </c>
    </row>
    <row r="137" spans="5:27" x14ac:dyDescent="0.2">
      <c r="M137" s="10" t="s">
        <v>439</v>
      </c>
      <c r="N137" s="10" t="s">
        <v>439</v>
      </c>
      <c r="O137" s="10" t="s">
        <v>439</v>
      </c>
      <c r="P137" s="10" t="s">
        <v>439</v>
      </c>
      <c r="Q137" s="10" t="s">
        <v>439</v>
      </c>
      <c r="R137" s="10" t="s">
        <v>439</v>
      </c>
      <c r="S137" s="10" t="s">
        <v>439</v>
      </c>
      <c r="U137" s="254" t="s">
        <v>439</v>
      </c>
      <c r="V137" s="23" t="s">
        <v>439</v>
      </c>
      <c r="W137" s="282" t="s">
        <v>439</v>
      </c>
      <c r="X137" s="12" t="s">
        <v>439</v>
      </c>
      <c r="Y137" s="12" t="s">
        <v>439</v>
      </c>
      <c r="Z137" s="12" t="s">
        <v>439</v>
      </c>
      <c r="AA137" s="12" t="s">
        <v>439</v>
      </c>
    </row>
    <row r="138" spans="5:27" x14ac:dyDescent="0.2">
      <c r="M138" s="10" t="s">
        <v>439</v>
      </c>
      <c r="N138" s="10" t="s">
        <v>439</v>
      </c>
      <c r="O138" s="10" t="s">
        <v>439</v>
      </c>
      <c r="P138" s="10" t="s">
        <v>439</v>
      </c>
      <c r="Q138" s="10" t="s">
        <v>439</v>
      </c>
      <c r="R138" s="10" t="s">
        <v>439</v>
      </c>
      <c r="S138" s="10" t="s">
        <v>439</v>
      </c>
      <c r="U138" s="254" t="s">
        <v>439</v>
      </c>
      <c r="V138" s="23" t="s">
        <v>439</v>
      </c>
      <c r="W138" s="282" t="s">
        <v>439</v>
      </c>
      <c r="X138" s="12" t="s">
        <v>439</v>
      </c>
      <c r="Y138" s="12" t="s">
        <v>439</v>
      </c>
      <c r="Z138" s="12" t="s">
        <v>439</v>
      </c>
      <c r="AA138" s="12" t="s">
        <v>439</v>
      </c>
    </row>
    <row r="139" spans="5:27" x14ac:dyDescent="0.2">
      <c r="M139" s="10" t="s">
        <v>439</v>
      </c>
      <c r="N139" s="10" t="s">
        <v>439</v>
      </c>
      <c r="O139" s="10" t="s">
        <v>439</v>
      </c>
      <c r="P139" s="10" t="s">
        <v>439</v>
      </c>
      <c r="Q139" s="10" t="s">
        <v>439</v>
      </c>
      <c r="R139" s="10" t="s">
        <v>439</v>
      </c>
      <c r="S139" s="10" t="s">
        <v>439</v>
      </c>
      <c r="U139" s="254" t="s">
        <v>439</v>
      </c>
      <c r="V139" s="23" t="s">
        <v>439</v>
      </c>
      <c r="W139" s="282" t="s">
        <v>439</v>
      </c>
      <c r="X139" s="12" t="s">
        <v>439</v>
      </c>
      <c r="Y139" s="12" t="s">
        <v>439</v>
      </c>
      <c r="Z139" s="12" t="s">
        <v>439</v>
      </c>
      <c r="AA139" s="12" t="s">
        <v>439</v>
      </c>
    </row>
    <row r="140" spans="5:27" x14ac:dyDescent="0.2">
      <c r="M140" s="10" t="s">
        <v>439</v>
      </c>
      <c r="N140" s="10" t="s">
        <v>439</v>
      </c>
      <c r="O140" s="10" t="s">
        <v>439</v>
      </c>
      <c r="P140" s="10" t="s">
        <v>439</v>
      </c>
      <c r="Q140" s="10" t="s">
        <v>439</v>
      </c>
      <c r="R140" s="10" t="s">
        <v>439</v>
      </c>
      <c r="S140" s="10" t="s">
        <v>439</v>
      </c>
      <c r="U140" s="254" t="s">
        <v>439</v>
      </c>
      <c r="V140" s="23" t="s">
        <v>439</v>
      </c>
      <c r="W140" s="282" t="s">
        <v>439</v>
      </c>
      <c r="X140" s="12" t="s">
        <v>439</v>
      </c>
      <c r="Y140" s="12" t="s">
        <v>439</v>
      </c>
      <c r="Z140" s="12" t="s">
        <v>439</v>
      </c>
      <c r="AA140" s="12" t="s">
        <v>439</v>
      </c>
    </row>
    <row r="141" spans="5:27" x14ac:dyDescent="0.2">
      <c r="M141" s="10" t="s">
        <v>439</v>
      </c>
      <c r="N141" s="10" t="s">
        <v>439</v>
      </c>
      <c r="O141" s="10" t="s">
        <v>439</v>
      </c>
      <c r="P141" s="10" t="s">
        <v>439</v>
      </c>
      <c r="Q141" s="10" t="s">
        <v>439</v>
      </c>
      <c r="R141" s="10" t="s">
        <v>439</v>
      </c>
      <c r="S141" s="10" t="s">
        <v>439</v>
      </c>
      <c r="U141" s="254" t="s">
        <v>439</v>
      </c>
      <c r="V141" s="23" t="s">
        <v>439</v>
      </c>
      <c r="W141" s="282" t="s">
        <v>439</v>
      </c>
      <c r="X141" s="12" t="s">
        <v>439</v>
      </c>
      <c r="Y141" s="12" t="s">
        <v>439</v>
      </c>
      <c r="Z141" s="12" t="s">
        <v>439</v>
      </c>
      <c r="AA141" s="12" t="s">
        <v>439</v>
      </c>
    </row>
    <row r="142" spans="5:27" x14ac:dyDescent="0.2">
      <c r="M142" s="10" t="s">
        <v>439</v>
      </c>
      <c r="N142" s="10" t="s">
        <v>439</v>
      </c>
      <c r="O142" s="10" t="s">
        <v>439</v>
      </c>
      <c r="P142" s="10" t="s">
        <v>439</v>
      </c>
      <c r="Q142" s="10" t="s">
        <v>439</v>
      </c>
      <c r="R142" s="10" t="s">
        <v>439</v>
      </c>
      <c r="S142" s="10" t="s">
        <v>439</v>
      </c>
      <c r="U142" s="254" t="s">
        <v>439</v>
      </c>
      <c r="V142" s="23" t="s">
        <v>439</v>
      </c>
      <c r="W142" s="282" t="s">
        <v>439</v>
      </c>
      <c r="X142" s="12" t="s">
        <v>439</v>
      </c>
      <c r="Y142" s="12" t="s">
        <v>439</v>
      </c>
      <c r="Z142" s="12" t="s">
        <v>439</v>
      </c>
      <c r="AA142" s="12" t="s">
        <v>439</v>
      </c>
    </row>
    <row r="143" spans="5:27" x14ac:dyDescent="0.2">
      <c r="M143" s="10" t="s">
        <v>439</v>
      </c>
      <c r="N143" s="10" t="s">
        <v>439</v>
      </c>
      <c r="O143" s="10" t="s">
        <v>439</v>
      </c>
      <c r="P143" s="10" t="s">
        <v>439</v>
      </c>
      <c r="Q143" s="10" t="s">
        <v>439</v>
      </c>
      <c r="R143" s="10" t="s">
        <v>439</v>
      </c>
      <c r="S143" s="10" t="s">
        <v>439</v>
      </c>
      <c r="U143" s="254" t="s">
        <v>439</v>
      </c>
      <c r="V143" s="23" t="s">
        <v>439</v>
      </c>
      <c r="W143" s="282" t="s">
        <v>439</v>
      </c>
      <c r="X143" s="12" t="s">
        <v>439</v>
      </c>
      <c r="Y143" s="12" t="s">
        <v>439</v>
      </c>
      <c r="Z143" s="12" t="s">
        <v>439</v>
      </c>
      <c r="AA143" s="12" t="s">
        <v>439</v>
      </c>
    </row>
    <row r="144" spans="5:27" x14ac:dyDescent="0.2">
      <c r="M144" s="10" t="s">
        <v>439</v>
      </c>
      <c r="N144" s="10" t="s">
        <v>439</v>
      </c>
      <c r="O144" s="10" t="s">
        <v>439</v>
      </c>
      <c r="P144" s="10" t="s">
        <v>439</v>
      </c>
      <c r="Q144" s="10" t="s">
        <v>439</v>
      </c>
      <c r="R144" s="10" t="s">
        <v>439</v>
      </c>
      <c r="S144" s="10" t="s">
        <v>439</v>
      </c>
      <c r="U144" s="254" t="s">
        <v>439</v>
      </c>
      <c r="V144" s="23" t="s">
        <v>439</v>
      </c>
      <c r="W144" s="282" t="s">
        <v>439</v>
      </c>
      <c r="X144" s="12" t="s">
        <v>439</v>
      </c>
      <c r="Y144" s="12" t="s">
        <v>439</v>
      </c>
      <c r="Z144" s="12" t="s">
        <v>439</v>
      </c>
      <c r="AA144" s="12" t="s">
        <v>439</v>
      </c>
    </row>
    <row r="145" spans="13:27" x14ac:dyDescent="0.2">
      <c r="M145" s="10" t="s">
        <v>439</v>
      </c>
      <c r="N145" s="10" t="s">
        <v>439</v>
      </c>
      <c r="O145" s="10" t="s">
        <v>439</v>
      </c>
      <c r="P145" s="10" t="s">
        <v>439</v>
      </c>
      <c r="Q145" s="10" t="s">
        <v>439</v>
      </c>
      <c r="R145" s="10" t="s">
        <v>439</v>
      </c>
      <c r="S145" s="10" t="s">
        <v>439</v>
      </c>
      <c r="U145" s="254" t="s">
        <v>439</v>
      </c>
      <c r="V145" s="23" t="s">
        <v>439</v>
      </c>
      <c r="W145" s="282" t="s">
        <v>439</v>
      </c>
      <c r="X145" s="12" t="s">
        <v>439</v>
      </c>
      <c r="Y145" s="12" t="s">
        <v>439</v>
      </c>
      <c r="Z145" s="12" t="s">
        <v>439</v>
      </c>
      <c r="AA145" s="12" t="s">
        <v>439</v>
      </c>
    </row>
    <row r="146" spans="13:27" x14ac:dyDescent="0.2">
      <c r="M146" s="10" t="s">
        <v>439</v>
      </c>
      <c r="N146" s="10" t="s">
        <v>439</v>
      </c>
      <c r="O146" s="10" t="s">
        <v>439</v>
      </c>
      <c r="P146" s="10" t="s">
        <v>439</v>
      </c>
      <c r="Q146" s="10" t="s">
        <v>439</v>
      </c>
      <c r="R146" s="10" t="s">
        <v>439</v>
      </c>
      <c r="S146" s="10" t="s">
        <v>439</v>
      </c>
      <c r="U146" s="254" t="s">
        <v>439</v>
      </c>
      <c r="V146" s="23" t="s">
        <v>439</v>
      </c>
      <c r="W146" s="282" t="s">
        <v>439</v>
      </c>
      <c r="X146" s="12" t="s">
        <v>439</v>
      </c>
      <c r="Y146" s="12" t="s">
        <v>439</v>
      </c>
      <c r="Z146" s="12" t="s">
        <v>439</v>
      </c>
      <c r="AA146" s="12" t="s">
        <v>439</v>
      </c>
    </row>
    <row r="147" spans="13:27" x14ac:dyDescent="0.2">
      <c r="M147" s="10" t="s">
        <v>439</v>
      </c>
      <c r="N147" s="10" t="s">
        <v>439</v>
      </c>
      <c r="O147" s="10" t="s">
        <v>439</v>
      </c>
      <c r="P147" s="10" t="s">
        <v>439</v>
      </c>
      <c r="Q147" s="10" t="s">
        <v>439</v>
      </c>
      <c r="R147" s="10" t="s">
        <v>439</v>
      </c>
      <c r="S147" s="10" t="s">
        <v>439</v>
      </c>
      <c r="U147" s="254" t="s">
        <v>439</v>
      </c>
      <c r="V147" s="23" t="s">
        <v>439</v>
      </c>
      <c r="W147" s="282" t="s">
        <v>439</v>
      </c>
      <c r="X147" s="12" t="s">
        <v>439</v>
      </c>
      <c r="Y147" s="12" t="s">
        <v>439</v>
      </c>
      <c r="Z147" s="12" t="s">
        <v>439</v>
      </c>
      <c r="AA147" s="12" t="s">
        <v>439</v>
      </c>
    </row>
    <row r="148" spans="13:27" x14ac:dyDescent="0.2">
      <c r="M148" s="10" t="s">
        <v>439</v>
      </c>
      <c r="N148" s="10" t="s">
        <v>439</v>
      </c>
      <c r="O148" s="10" t="s">
        <v>439</v>
      </c>
      <c r="P148" s="10" t="s">
        <v>439</v>
      </c>
      <c r="Q148" s="10" t="s">
        <v>439</v>
      </c>
      <c r="R148" s="10" t="s">
        <v>439</v>
      </c>
      <c r="S148" s="10" t="s">
        <v>439</v>
      </c>
      <c r="U148" s="254" t="s">
        <v>439</v>
      </c>
      <c r="V148" s="23" t="s">
        <v>439</v>
      </c>
      <c r="W148" s="282" t="s">
        <v>439</v>
      </c>
      <c r="X148" s="12" t="s">
        <v>439</v>
      </c>
      <c r="Y148" s="12" t="s">
        <v>439</v>
      </c>
      <c r="Z148" s="12" t="s">
        <v>439</v>
      </c>
      <c r="AA148" s="12" t="s">
        <v>439</v>
      </c>
    </row>
    <row r="149" spans="13:27" x14ac:dyDescent="0.2">
      <c r="M149" s="10" t="s">
        <v>439</v>
      </c>
      <c r="N149" s="10" t="s">
        <v>439</v>
      </c>
      <c r="O149" s="10" t="s">
        <v>439</v>
      </c>
      <c r="P149" s="10" t="s">
        <v>439</v>
      </c>
      <c r="Q149" s="10" t="s">
        <v>439</v>
      </c>
      <c r="R149" s="10" t="s">
        <v>439</v>
      </c>
      <c r="S149" s="10" t="s">
        <v>439</v>
      </c>
      <c r="U149" s="254" t="s">
        <v>439</v>
      </c>
      <c r="V149" s="23" t="s">
        <v>439</v>
      </c>
      <c r="W149" s="282" t="s">
        <v>439</v>
      </c>
      <c r="X149" s="12" t="s">
        <v>439</v>
      </c>
      <c r="Y149" s="12" t="s">
        <v>439</v>
      </c>
      <c r="Z149" s="12" t="s">
        <v>439</v>
      </c>
      <c r="AA149" s="12" t="s">
        <v>439</v>
      </c>
    </row>
    <row r="150" spans="13:27" x14ac:dyDescent="0.2">
      <c r="M150" s="10" t="s">
        <v>439</v>
      </c>
      <c r="N150" s="10" t="s">
        <v>439</v>
      </c>
      <c r="O150" s="10" t="s">
        <v>439</v>
      </c>
      <c r="P150" s="10" t="s">
        <v>439</v>
      </c>
      <c r="Q150" s="10" t="s">
        <v>439</v>
      </c>
      <c r="R150" s="10" t="s">
        <v>439</v>
      </c>
      <c r="S150" s="10" t="s">
        <v>439</v>
      </c>
      <c r="U150" s="254" t="s">
        <v>439</v>
      </c>
      <c r="V150" s="23" t="s">
        <v>439</v>
      </c>
      <c r="W150" s="282" t="s">
        <v>439</v>
      </c>
      <c r="X150" s="12" t="s">
        <v>439</v>
      </c>
      <c r="Y150" s="12" t="s">
        <v>439</v>
      </c>
      <c r="Z150" s="12" t="s">
        <v>439</v>
      </c>
      <c r="AA150" s="12" t="s">
        <v>439</v>
      </c>
    </row>
    <row r="151" spans="13:27" x14ac:dyDescent="0.2">
      <c r="M151" s="10" t="s">
        <v>439</v>
      </c>
      <c r="N151" s="10" t="s">
        <v>439</v>
      </c>
      <c r="O151" s="10" t="s">
        <v>439</v>
      </c>
      <c r="P151" s="10" t="s">
        <v>439</v>
      </c>
      <c r="Q151" s="10" t="s">
        <v>439</v>
      </c>
      <c r="R151" s="10" t="s">
        <v>439</v>
      </c>
      <c r="S151" s="10" t="s">
        <v>439</v>
      </c>
      <c r="U151" s="254" t="s">
        <v>439</v>
      </c>
      <c r="V151" s="23" t="s">
        <v>439</v>
      </c>
      <c r="W151" s="282" t="s">
        <v>439</v>
      </c>
      <c r="X151" s="12" t="s">
        <v>439</v>
      </c>
      <c r="Y151" s="12" t="s">
        <v>439</v>
      </c>
      <c r="Z151" s="12" t="s">
        <v>439</v>
      </c>
      <c r="AA151" s="12" t="s">
        <v>439</v>
      </c>
    </row>
    <row r="152" spans="13:27" x14ac:dyDescent="0.2">
      <c r="M152" s="10" t="s">
        <v>439</v>
      </c>
      <c r="N152" s="10" t="s">
        <v>439</v>
      </c>
      <c r="O152" s="10" t="s">
        <v>439</v>
      </c>
      <c r="P152" s="10" t="s">
        <v>439</v>
      </c>
      <c r="Q152" s="10" t="s">
        <v>439</v>
      </c>
      <c r="R152" s="10" t="s">
        <v>439</v>
      </c>
      <c r="S152" s="10" t="s">
        <v>439</v>
      </c>
      <c r="U152" s="12" t="s">
        <v>439</v>
      </c>
      <c r="V152" s="23" t="s">
        <v>439</v>
      </c>
      <c r="W152" s="282" t="s">
        <v>439</v>
      </c>
      <c r="X152" s="12" t="s">
        <v>439</v>
      </c>
      <c r="Y152" s="12" t="s">
        <v>439</v>
      </c>
      <c r="Z152" s="12" t="s">
        <v>439</v>
      </c>
      <c r="AA152" s="12" t="s">
        <v>439</v>
      </c>
    </row>
    <row r="153" spans="13:27" x14ac:dyDescent="0.2">
      <c r="M153" s="10" t="s">
        <v>439</v>
      </c>
      <c r="N153" s="10" t="s">
        <v>439</v>
      </c>
      <c r="O153" s="10" t="s">
        <v>439</v>
      </c>
      <c r="P153" s="10" t="s">
        <v>439</v>
      </c>
      <c r="Q153" s="10" t="s">
        <v>439</v>
      </c>
      <c r="R153" s="10" t="s">
        <v>439</v>
      </c>
      <c r="S153" s="10" t="s">
        <v>439</v>
      </c>
      <c r="U153" s="12" t="s">
        <v>439</v>
      </c>
      <c r="V153" s="23" t="s">
        <v>439</v>
      </c>
      <c r="W153" s="282" t="s">
        <v>439</v>
      </c>
      <c r="X153" s="12" t="s">
        <v>439</v>
      </c>
      <c r="Y153" s="12" t="s">
        <v>439</v>
      </c>
      <c r="Z153" s="12" t="s">
        <v>439</v>
      </c>
      <c r="AA153" s="12" t="s">
        <v>439</v>
      </c>
    </row>
    <row r="154" spans="13:27" x14ac:dyDescent="0.2">
      <c r="M154" s="10" t="s">
        <v>439</v>
      </c>
      <c r="N154" s="10" t="s">
        <v>439</v>
      </c>
      <c r="O154" s="10" t="s">
        <v>439</v>
      </c>
      <c r="P154" s="10" t="s">
        <v>439</v>
      </c>
      <c r="Q154" s="10" t="s">
        <v>439</v>
      </c>
      <c r="R154" s="10" t="s">
        <v>439</v>
      </c>
      <c r="S154" s="10" t="s">
        <v>439</v>
      </c>
      <c r="U154" s="12" t="s">
        <v>439</v>
      </c>
      <c r="V154" s="23" t="s">
        <v>439</v>
      </c>
      <c r="W154" s="12" t="s">
        <v>439</v>
      </c>
      <c r="X154" s="12" t="s">
        <v>439</v>
      </c>
      <c r="Y154" s="12" t="s">
        <v>439</v>
      </c>
      <c r="Z154" s="12" t="s">
        <v>439</v>
      </c>
      <c r="AA154" s="12" t="s">
        <v>439</v>
      </c>
    </row>
    <row r="155" spans="13:27" x14ac:dyDescent="0.2">
      <c r="M155" s="10" t="s">
        <v>439</v>
      </c>
      <c r="N155" s="10" t="s">
        <v>439</v>
      </c>
      <c r="O155" s="10" t="s">
        <v>439</v>
      </c>
      <c r="P155" s="10" t="s">
        <v>439</v>
      </c>
      <c r="Q155" s="10" t="s">
        <v>439</v>
      </c>
      <c r="R155" s="10" t="s">
        <v>439</v>
      </c>
      <c r="S155" s="10" t="s">
        <v>439</v>
      </c>
      <c r="U155" s="12" t="s">
        <v>439</v>
      </c>
      <c r="V155" s="23" t="s">
        <v>439</v>
      </c>
      <c r="W155" s="12" t="s">
        <v>439</v>
      </c>
      <c r="X155" s="12" t="s">
        <v>439</v>
      </c>
      <c r="Y155" s="12" t="s">
        <v>439</v>
      </c>
      <c r="Z155" s="12" t="s">
        <v>439</v>
      </c>
      <c r="AA155" s="12" t="s">
        <v>439</v>
      </c>
    </row>
    <row r="156" spans="13:27" x14ac:dyDescent="0.2">
      <c r="M156" s="10" t="s">
        <v>439</v>
      </c>
      <c r="N156" s="10" t="s">
        <v>439</v>
      </c>
      <c r="O156" s="10" t="s">
        <v>439</v>
      </c>
      <c r="P156" s="10" t="s">
        <v>439</v>
      </c>
      <c r="Q156" s="10" t="s">
        <v>439</v>
      </c>
      <c r="R156" s="10" t="s">
        <v>439</v>
      </c>
      <c r="S156" s="10" t="s">
        <v>439</v>
      </c>
      <c r="U156" s="12" t="s">
        <v>439</v>
      </c>
      <c r="V156" s="23" t="s">
        <v>439</v>
      </c>
      <c r="W156" s="12" t="s">
        <v>439</v>
      </c>
      <c r="X156" s="12" t="s">
        <v>439</v>
      </c>
      <c r="Y156" s="12" t="s">
        <v>439</v>
      </c>
      <c r="Z156" s="12" t="s">
        <v>439</v>
      </c>
      <c r="AA156" s="12" t="s">
        <v>439</v>
      </c>
    </row>
    <row r="157" spans="13:27" x14ac:dyDescent="0.2">
      <c r="M157" s="10" t="s">
        <v>439</v>
      </c>
      <c r="N157" s="10" t="s">
        <v>439</v>
      </c>
      <c r="O157" s="10" t="s">
        <v>439</v>
      </c>
      <c r="P157" s="10" t="s">
        <v>439</v>
      </c>
      <c r="Q157" s="10" t="s">
        <v>439</v>
      </c>
      <c r="R157" s="10" t="s">
        <v>439</v>
      </c>
      <c r="S157" s="10" t="s">
        <v>439</v>
      </c>
      <c r="U157" s="12" t="s">
        <v>439</v>
      </c>
      <c r="V157" s="23" t="s">
        <v>439</v>
      </c>
      <c r="W157" s="12" t="s">
        <v>439</v>
      </c>
      <c r="X157" s="12" t="s">
        <v>439</v>
      </c>
      <c r="Y157" s="12" t="s">
        <v>439</v>
      </c>
      <c r="Z157" s="12" t="s">
        <v>439</v>
      </c>
      <c r="AA157" s="12" t="s">
        <v>439</v>
      </c>
    </row>
    <row r="158" spans="13:27" x14ac:dyDescent="0.2">
      <c r="M158" s="10" t="s">
        <v>439</v>
      </c>
      <c r="N158" s="10" t="s">
        <v>439</v>
      </c>
      <c r="O158" s="10" t="s">
        <v>439</v>
      </c>
      <c r="P158" s="10" t="s">
        <v>439</v>
      </c>
      <c r="Q158" s="10" t="s">
        <v>439</v>
      </c>
      <c r="R158" s="10" t="s">
        <v>439</v>
      </c>
      <c r="S158" s="10" t="s">
        <v>439</v>
      </c>
      <c r="U158" s="12" t="s">
        <v>439</v>
      </c>
      <c r="V158" s="23" t="s">
        <v>439</v>
      </c>
      <c r="W158" s="12" t="s">
        <v>439</v>
      </c>
      <c r="X158" s="12" t="s">
        <v>439</v>
      </c>
      <c r="Y158" s="12" t="s">
        <v>439</v>
      </c>
      <c r="Z158" s="12" t="s">
        <v>439</v>
      </c>
      <c r="AA158" s="12" t="s">
        <v>439</v>
      </c>
    </row>
    <row r="159" spans="13:27" x14ac:dyDescent="0.2">
      <c r="M159" s="10" t="s">
        <v>439</v>
      </c>
      <c r="N159" s="10" t="s">
        <v>439</v>
      </c>
      <c r="O159" s="10" t="s">
        <v>439</v>
      </c>
      <c r="P159" s="10" t="s">
        <v>439</v>
      </c>
      <c r="Q159" s="10" t="s">
        <v>439</v>
      </c>
      <c r="R159" s="10" t="s">
        <v>439</v>
      </c>
      <c r="S159" s="10" t="s">
        <v>439</v>
      </c>
      <c r="U159" s="12" t="s">
        <v>439</v>
      </c>
      <c r="V159" s="23" t="s">
        <v>439</v>
      </c>
      <c r="W159" s="12" t="s">
        <v>439</v>
      </c>
      <c r="X159" s="12" t="s">
        <v>439</v>
      </c>
      <c r="Y159" s="12" t="s">
        <v>439</v>
      </c>
      <c r="Z159" s="12" t="s">
        <v>439</v>
      </c>
      <c r="AA159" s="12" t="s">
        <v>439</v>
      </c>
    </row>
    <row r="160" spans="13:27" x14ac:dyDescent="0.2">
      <c r="M160" s="10" t="s">
        <v>439</v>
      </c>
      <c r="N160" s="10" t="s">
        <v>439</v>
      </c>
      <c r="O160" s="10" t="s">
        <v>439</v>
      </c>
      <c r="P160" s="10" t="s">
        <v>439</v>
      </c>
      <c r="Q160" s="10" t="s">
        <v>439</v>
      </c>
      <c r="R160" s="10" t="s">
        <v>439</v>
      </c>
      <c r="S160" s="10" t="s">
        <v>439</v>
      </c>
      <c r="U160" s="12" t="s">
        <v>439</v>
      </c>
      <c r="V160" s="23" t="s">
        <v>439</v>
      </c>
      <c r="W160" s="12" t="s">
        <v>439</v>
      </c>
      <c r="X160" s="12" t="s">
        <v>439</v>
      </c>
      <c r="Y160" s="12" t="s">
        <v>439</v>
      </c>
      <c r="Z160" s="12" t="s">
        <v>439</v>
      </c>
      <c r="AA160" s="12" t="s">
        <v>439</v>
      </c>
    </row>
    <row r="161" spans="13:27" x14ac:dyDescent="0.2">
      <c r="M161" s="10" t="s">
        <v>439</v>
      </c>
      <c r="N161" s="10" t="s">
        <v>439</v>
      </c>
      <c r="O161" s="10" t="s">
        <v>439</v>
      </c>
      <c r="P161" s="10" t="s">
        <v>439</v>
      </c>
      <c r="Q161" s="10" t="s">
        <v>439</v>
      </c>
      <c r="R161" s="10" t="s">
        <v>439</v>
      </c>
      <c r="S161" s="10" t="s">
        <v>439</v>
      </c>
      <c r="U161" s="12" t="s">
        <v>439</v>
      </c>
      <c r="V161" s="23" t="s">
        <v>439</v>
      </c>
      <c r="W161" s="12" t="s">
        <v>439</v>
      </c>
      <c r="X161" s="12" t="s">
        <v>439</v>
      </c>
      <c r="Y161" s="12" t="s">
        <v>439</v>
      </c>
      <c r="Z161" s="12" t="s">
        <v>439</v>
      </c>
      <c r="AA161" s="12" t="s">
        <v>439</v>
      </c>
    </row>
    <row r="162" spans="13:27" x14ac:dyDescent="0.2">
      <c r="M162" s="10" t="s">
        <v>439</v>
      </c>
      <c r="N162" s="10" t="s">
        <v>439</v>
      </c>
      <c r="O162" s="10" t="s">
        <v>439</v>
      </c>
      <c r="P162" s="10" t="s">
        <v>439</v>
      </c>
      <c r="Q162" s="10" t="s">
        <v>439</v>
      </c>
      <c r="R162" s="10" t="s">
        <v>439</v>
      </c>
      <c r="S162" s="10" t="s">
        <v>439</v>
      </c>
      <c r="U162" s="12" t="s">
        <v>439</v>
      </c>
      <c r="V162" s="23" t="s">
        <v>439</v>
      </c>
      <c r="W162" s="12" t="s">
        <v>439</v>
      </c>
      <c r="X162" s="12" t="s">
        <v>439</v>
      </c>
      <c r="Y162" s="12" t="s">
        <v>439</v>
      </c>
      <c r="Z162" s="12" t="s">
        <v>439</v>
      </c>
      <c r="AA162" s="12" t="s">
        <v>439</v>
      </c>
    </row>
    <row r="163" spans="13:27" x14ac:dyDescent="0.2">
      <c r="M163" s="10" t="s">
        <v>439</v>
      </c>
      <c r="N163" s="10" t="s">
        <v>439</v>
      </c>
      <c r="O163" s="10" t="s">
        <v>439</v>
      </c>
      <c r="P163" s="10" t="s">
        <v>439</v>
      </c>
      <c r="Q163" s="10" t="s">
        <v>439</v>
      </c>
      <c r="R163" s="10" t="s">
        <v>439</v>
      </c>
      <c r="S163" s="10" t="s">
        <v>439</v>
      </c>
      <c r="U163" s="12" t="s">
        <v>439</v>
      </c>
      <c r="V163" s="23" t="s">
        <v>439</v>
      </c>
      <c r="W163" s="12" t="s">
        <v>439</v>
      </c>
      <c r="X163" s="12" t="s">
        <v>439</v>
      </c>
      <c r="Y163" s="12" t="s">
        <v>439</v>
      </c>
      <c r="Z163" s="12" t="s">
        <v>439</v>
      </c>
      <c r="AA163" s="12" t="s">
        <v>439</v>
      </c>
    </row>
    <row r="164" spans="13:27" x14ac:dyDescent="0.2">
      <c r="M164" s="10" t="s">
        <v>439</v>
      </c>
      <c r="N164" s="10" t="s">
        <v>439</v>
      </c>
      <c r="O164" s="10" t="s">
        <v>439</v>
      </c>
      <c r="P164" s="10" t="s">
        <v>439</v>
      </c>
      <c r="Q164" s="10" t="s">
        <v>439</v>
      </c>
      <c r="R164" s="10" t="s">
        <v>439</v>
      </c>
      <c r="S164" s="10" t="s">
        <v>439</v>
      </c>
      <c r="U164" s="12" t="s">
        <v>439</v>
      </c>
      <c r="V164" s="23" t="s">
        <v>439</v>
      </c>
      <c r="W164" s="12" t="s">
        <v>439</v>
      </c>
      <c r="X164" s="12" t="s">
        <v>439</v>
      </c>
      <c r="Y164" s="12" t="s">
        <v>439</v>
      </c>
      <c r="Z164" s="12" t="s">
        <v>439</v>
      </c>
      <c r="AA164" s="12" t="s">
        <v>439</v>
      </c>
    </row>
    <row r="165" spans="13:27" x14ac:dyDescent="0.2">
      <c r="M165" s="10" t="s">
        <v>439</v>
      </c>
      <c r="N165" s="10" t="s">
        <v>439</v>
      </c>
      <c r="O165" s="10" t="s">
        <v>439</v>
      </c>
      <c r="P165" s="10" t="s">
        <v>439</v>
      </c>
      <c r="Q165" s="10" t="s">
        <v>439</v>
      </c>
      <c r="R165" s="10" t="s">
        <v>439</v>
      </c>
      <c r="S165" s="10" t="s">
        <v>439</v>
      </c>
      <c r="U165" s="12" t="s">
        <v>439</v>
      </c>
      <c r="V165" s="23" t="s">
        <v>439</v>
      </c>
      <c r="W165" s="12" t="s">
        <v>439</v>
      </c>
      <c r="X165" s="12" t="s">
        <v>439</v>
      </c>
      <c r="Y165" s="12" t="s">
        <v>439</v>
      </c>
      <c r="Z165" s="12" t="s">
        <v>439</v>
      </c>
      <c r="AA165" s="12" t="s">
        <v>439</v>
      </c>
    </row>
    <row r="166" spans="13:27" x14ac:dyDescent="0.2">
      <c r="M166" s="10" t="s">
        <v>439</v>
      </c>
      <c r="N166" s="10" t="s">
        <v>439</v>
      </c>
      <c r="O166" s="10" t="s">
        <v>439</v>
      </c>
      <c r="P166" s="10" t="s">
        <v>439</v>
      </c>
      <c r="Q166" s="10" t="s">
        <v>439</v>
      </c>
      <c r="R166" s="10" t="s">
        <v>439</v>
      </c>
      <c r="S166" s="10" t="s">
        <v>439</v>
      </c>
      <c r="U166" s="12" t="s">
        <v>439</v>
      </c>
      <c r="V166" s="23" t="s">
        <v>439</v>
      </c>
      <c r="W166" s="12" t="s">
        <v>439</v>
      </c>
      <c r="X166" s="12" t="s">
        <v>439</v>
      </c>
      <c r="Y166" s="12" t="s">
        <v>439</v>
      </c>
      <c r="Z166" s="12" t="s">
        <v>439</v>
      </c>
      <c r="AA166" s="12" t="s">
        <v>439</v>
      </c>
    </row>
    <row r="167" spans="13:27" x14ac:dyDescent="0.2">
      <c r="M167" s="10" t="s">
        <v>439</v>
      </c>
      <c r="N167" s="10" t="s">
        <v>439</v>
      </c>
      <c r="O167" s="10" t="s">
        <v>439</v>
      </c>
      <c r="P167" s="10" t="s">
        <v>439</v>
      </c>
      <c r="Q167" s="10" t="s">
        <v>439</v>
      </c>
      <c r="R167" s="10" t="s">
        <v>439</v>
      </c>
      <c r="S167" s="10" t="s">
        <v>439</v>
      </c>
      <c r="U167" s="12" t="s">
        <v>439</v>
      </c>
      <c r="V167" s="23" t="s">
        <v>439</v>
      </c>
      <c r="W167" s="12" t="s">
        <v>439</v>
      </c>
      <c r="X167" s="12" t="s">
        <v>439</v>
      </c>
      <c r="Y167" s="12" t="s">
        <v>439</v>
      </c>
      <c r="Z167" s="12" t="s">
        <v>439</v>
      </c>
      <c r="AA167" s="12" t="s">
        <v>439</v>
      </c>
    </row>
    <row r="168" spans="13:27" x14ac:dyDescent="0.2">
      <c r="M168" s="10" t="s">
        <v>439</v>
      </c>
      <c r="N168" s="10" t="s">
        <v>439</v>
      </c>
      <c r="O168" s="10" t="s">
        <v>439</v>
      </c>
      <c r="P168" s="10" t="s">
        <v>439</v>
      </c>
      <c r="Q168" s="10" t="s">
        <v>439</v>
      </c>
      <c r="R168" s="10" t="s">
        <v>439</v>
      </c>
      <c r="S168" s="10" t="s">
        <v>439</v>
      </c>
      <c r="U168" s="12" t="s">
        <v>439</v>
      </c>
      <c r="V168" s="23" t="s">
        <v>439</v>
      </c>
      <c r="W168" s="12" t="s">
        <v>439</v>
      </c>
      <c r="X168" s="12" t="s">
        <v>439</v>
      </c>
      <c r="Y168" s="12" t="s">
        <v>439</v>
      </c>
      <c r="Z168" s="12" t="s">
        <v>439</v>
      </c>
      <c r="AA168" s="12" t="s">
        <v>439</v>
      </c>
    </row>
    <row r="169" spans="13:27" x14ac:dyDescent="0.2">
      <c r="M169" s="10" t="s">
        <v>439</v>
      </c>
      <c r="N169" s="10" t="s">
        <v>439</v>
      </c>
      <c r="O169" s="10" t="s">
        <v>439</v>
      </c>
      <c r="P169" s="10" t="s">
        <v>439</v>
      </c>
      <c r="Q169" s="10" t="s">
        <v>439</v>
      </c>
      <c r="R169" s="10" t="s">
        <v>439</v>
      </c>
      <c r="S169" s="10" t="s">
        <v>439</v>
      </c>
      <c r="U169" s="12" t="s">
        <v>439</v>
      </c>
      <c r="V169" s="23" t="s">
        <v>439</v>
      </c>
      <c r="W169" s="12" t="s">
        <v>439</v>
      </c>
      <c r="X169" s="12" t="s">
        <v>439</v>
      </c>
      <c r="Y169" s="12" t="s">
        <v>439</v>
      </c>
      <c r="Z169" s="12" t="s">
        <v>439</v>
      </c>
      <c r="AA169" s="12" t="s">
        <v>439</v>
      </c>
    </row>
    <row r="170" spans="13:27" x14ac:dyDescent="0.2">
      <c r="M170" s="10" t="s">
        <v>439</v>
      </c>
      <c r="N170" s="10" t="s">
        <v>439</v>
      </c>
      <c r="O170" s="10" t="s">
        <v>439</v>
      </c>
      <c r="P170" s="10" t="s">
        <v>439</v>
      </c>
      <c r="Q170" s="10" t="s">
        <v>439</v>
      </c>
      <c r="R170" s="10" t="s">
        <v>439</v>
      </c>
      <c r="S170" s="10" t="s">
        <v>439</v>
      </c>
      <c r="U170" s="12" t="s">
        <v>439</v>
      </c>
      <c r="V170" s="23" t="s">
        <v>439</v>
      </c>
      <c r="W170" s="12" t="s">
        <v>439</v>
      </c>
      <c r="X170" s="12" t="s">
        <v>439</v>
      </c>
      <c r="Y170" s="12" t="s">
        <v>439</v>
      </c>
      <c r="Z170" s="12" t="s">
        <v>439</v>
      </c>
      <c r="AA170" s="12" t="s">
        <v>439</v>
      </c>
    </row>
    <row r="171" spans="13:27" x14ac:dyDescent="0.2">
      <c r="M171" s="10" t="s">
        <v>439</v>
      </c>
      <c r="N171" s="10" t="s">
        <v>439</v>
      </c>
      <c r="O171" s="10" t="s">
        <v>439</v>
      </c>
      <c r="P171" s="10" t="s">
        <v>439</v>
      </c>
      <c r="Q171" s="10" t="s">
        <v>439</v>
      </c>
      <c r="R171" s="10" t="s">
        <v>439</v>
      </c>
      <c r="S171" s="10" t="s">
        <v>439</v>
      </c>
      <c r="U171" s="12" t="s">
        <v>439</v>
      </c>
      <c r="V171" s="23" t="s">
        <v>439</v>
      </c>
      <c r="W171" s="12" t="s">
        <v>439</v>
      </c>
      <c r="X171" s="12" t="s">
        <v>439</v>
      </c>
      <c r="Y171" s="12" t="s">
        <v>439</v>
      </c>
      <c r="Z171" s="12" t="s">
        <v>439</v>
      </c>
      <c r="AA171" s="12" t="s">
        <v>439</v>
      </c>
    </row>
    <row r="172" spans="13:27" x14ac:dyDescent="0.2">
      <c r="M172" s="10" t="s">
        <v>439</v>
      </c>
      <c r="N172" s="10" t="s">
        <v>439</v>
      </c>
      <c r="O172" s="10" t="s">
        <v>439</v>
      </c>
      <c r="P172" s="10" t="s">
        <v>439</v>
      </c>
      <c r="Q172" s="10" t="s">
        <v>439</v>
      </c>
      <c r="R172" s="10" t="s">
        <v>439</v>
      </c>
      <c r="S172" s="10" t="s">
        <v>439</v>
      </c>
      <c r="U172" s="12" t="s">
        <v>439</v>
      </c>
      <c r="V172" s="23" t="s">
        <v>439</v>
      </c>
      <c r="W172" s="12" t="s">
        <v>439</v>
      </c>
      <c r="X172" s="12" t="s">
        <v>439</v>
      </c>
      <c r="Y172" s="12" t="s">
        <v>439</v>
      </c>
      <c r="Z172" s="12" t="s">
        <v>439</v>
      </c>
      <c r="AA172" s="12" t="s">
        <v>439</v>
      </c>
    </row>
    <row r="173" spans="13:27" x14ac:dyDescent="0.2">
      <c r="M173" s="10" t="s">
        <v>439</v>
      </c>
      <c r="N173" s="10" t="s">
        <v>439</v>
      </c>
      <c r="O173" s="10" t="s">
        <v>439</v>
      </c>
      <c r="P173" s="10" t="s">
        <v>439</v>
      </c>
      <c r="Q173" s="10" t="s">
        <v>439</v>
      </c>
      <c r="R173" s="10" t="s">
        <v>439</v>
      </c>
      <c r="S173" s="10" t="s">
        <v>439</v>
      </c>
      <c r="U173" s="12" t="s">
        <v>439</v>
      </c>
      <c r="V173" s="23" t="s">
        <v>439</v>
      </c>
      <c r="W173" s="12" t="s">
        <v>439</v>
      </c>
      <c r="X173" s="12" t="s">
        <v>439</v>
      </c>
      <c r="Y173" s="12" t="s">
        <v>439</v>
      </c>
      <c r="Z173" s="12" t="s">
        <v>439</v>
      </c>
      <c r="AA173" s="12" t="s">
        <v>439</v>
      </c>
    </row>
    <row r="174" spans="13:27" x14ac:dyDescent="0.2">
      <c r="M174" s="10" t="s">
        <v>439</v>
      </c>
      <c r="N174" s="10" t="s">
        <v>439</v>
      </c>
      <c r="O174" s="10" t="s">
        <v>439</v>
      </c>
      <c r="P174" s="10" t="s">
        <v>439</v>
      </c>
      <c r="Q174" s="10" t="s">
        <v>439</v>
      </c>
      <c r="R174" s="10" t="s">
        <v>439</v>
      </c>
      <c r="S174" s="10" t="s">
        <v>439</v>
      </c>
      <c r="U174" s="12" t="s">
        <v>439</v>
      </c>
      <c r="V174" s="23" t="s">
        <v>439</v>
      </c>
      <c r="W174" s="12" t="s">
        <v>439</v>
      </c>
      <c r="X174" s="12" t="s">
        <v>439</v>
      </c>
      <c r="Y174" s="12" t="s">
        <v>439</v>
      </c>
      <c r="Z174" s="12" t="s">
        <v>439</v>
      </c>
      <c r="AA174" s="12" t="s">
        <v>439</v>
      </c>
    </row>
    <row r="175" spans="13:27" x14ac:dyDescent="0.2">
      <c r="M175" s="10" t="s">
        <v>439</v>
      </c>
      <c r="N175" s="10" t="s">
        <v>439</v>
      </c>
      <c r="O175" s="10" t="s">
        <v>439</v>
      </c>
      <c r="P175" s="10" t="s">
        <v>439</v>
      </c>
      <c r="Q175" s="10" t="s">
        <v>439</v>
      </c>
      <c r="R175" s="10" t="s">
        <v>439</v>
      </c>
      <c r="S175" s="10" t="s">
        <v>439</v>
      </c>
      <c r="U175" s="12" t="s">
        <v>439</v>
      </c>
      <c r="V175" s="23" t="s">
        <v>439</v>
      </c>
      <c r="W175" s="12" t="s">
        <v>439</v>
      </c>
      <c r="X175" s="12" t="s">
        <v>439</v>
      </c>
      <c r="Y175" s="12" t="s">
        <v>439</v>
      </c>
      <c r="Z175" s="12" t="s">
        <v>439</v>
      </c>
      <c r="AA175" s="12" t="s">
        <v>439</v>
      </c>
    </row>
    <row r="176" spans="13:27" x14ac:dyDescent="0.2">
      <c r="M176" s="10" t="s">
        <v>439</v>
      </c>
      <c r="N176" s="10" t="s">
        <v>439</v>
      </c>
      <c r="O176" s="10" t="s">
        <v>439</v>
      </c>
      <c r="P176" s="10" t="s">
        <v>439</v>
      </c>
      <c r="Q176" s="10" t="s">
        <v>439</v>
      </c>
      <c r="R176" s="10" t="s">
        <v>439</v>
      </c>
      <c r="S176" s="10" t="s">
        <v>439</v>
      </c>
      <c r="U176" s="12" t="s">
        <v>439</v>
      </c>
      <c r="V176" s="23" t="s">
        <v>439</v>
      </c>
      <c r="W176" s="12" t="s">
        <v>439</v>
      </c>
      <c r="X176" s="12" t="s">
        <v>439</v>
      </c>
      <c r="Y176" s="12" t="s">
        <v>439</v>
      </c>
      <c r="Z176" s="12" t="s">
        <v>439</v>
      </c>
      <c r="AA176" s="12" t="s">
        <v>439</v>
      </c>
    </row>
    <row r="177" spans="13:27" x14ac:dyDescent="0.2">
      <c r="M177" s="10" t="s">
        <v>439</v>
      </c>
      <c r="N177" s="10" t="s">
        <v>439</v>
      </c>
      <c r="O177" s="10" t="s">
        <v>439</v>
      </c>
      <c r="P177" s="10" t="s">
        <v>439</v>
      </c>
      <c r="Q177" s="10" t="s">
        <v>439</v>
      </c>
      <c r="R177" s="10" t="s">
        <v>439</v>
      </c>
      <c r="S177" s="10" t="s">
        <v>439</v>
      </c>
      <c r="U177" s="12" t="s">
        <v>439</v>
      </c>
      <c r="V177" s="23" t="s">
        <v>439</v>
      </c>
      <c r="W177" s="12" t="s">
        <v>439</v>
      </c>
      <c r="X177" s="12" t="s">
        <v>439</v>
      </c>
      <c r="Y177" s="12" t="s">
        <v>439</v>
      </c>
      <c r="Z177" s="12" t="s">
        <v>439</v>
      </c>
      <c r="AA177" s="12" t="s">
        <v>439</v>
      </c>
    </row>
    <row r="178" spans="13:27" x14ac:dyDescent="0.2">
      <c r="M178" s="10" t="s">
        <v>439</v>
      </c>
      <c r="N178" s="10" t="s">
        <v>439</v>
      </c>
      <c r="O178" s="10" t="s">
        <v>439</v>
      </c>
      <c r="P178" s="10" t="s">
        <v>439</v>
      </c>
      <c r="Q178" s="10" t="s">
        <v>439</v>
      </c>
      <c r="R178" s="10" t="s">
        <v>439</v>
      </c>
      <c r="S178" s="10" t="s">
        <v>439</v>
      </c>
      <c r="U178" s="12" t="s">
        <v>439</v>
      </c>
      <c r="V178" s="23" t="s">
        <v>439</v>
      </c>
      <c r="W178" s="12" t="s">
        <v>439</v>
      </c>
      <c r="X178" s="12" t="s">
        <v>439</v>
      </c>
      <c r="Y178" s="12" t="s">
        <v>439</v>
      </c>
      <c r="Z178" s="12" t="s">
        <v>439</v>
      </c>
      <c r="AA178" s="12" t="s">
        <v>439</v>
      </c>
    </row>
    <row r="179" spans="13:27" x14ac:dyDescent="0.2">
      <c r="M179" s="10" t="s">
        <v>439</v>
      </c>
      <c r="N179" s="10" t="s">
        <v>439</v>
      </c>
      <c r="O179" s="10" t="s">
        <v>439</v>
      </c>
      <c r="P179" s="10" t="s">
        <v>439</v>
      </c>
      <c r="Q179" s="10" t="s">
        <v>439</v>
      </c>
      <c r="R179" s="10" t="s">
        <v>439</v>
      </c>
      <c r="S179" s="10" t="s">
        <v>439</v>
      </c>
      <c r="U179" s="12" t="s">
        <v>439</v>
      </c>
      <c r="V179" s="23" t="s">
        <v>439</v>
      </c>
      <c r="W179" s="12" t="s">
        <v>439</v>
      </c>
      <c r="X179" s="12" t="s">
        <v>439</v>
      </c>
      <c r="Y179" s="12" t="s">
        <v>439</v>
      </c>
      <c r="Z179" s="12" t="s">
        <v>439</v>
      </c>
      <c r="AA179" s="12" t="s">
        <v>439</v>
      </c>
    </row>
    <row r="180" spans="13:27" x14ac:dyDescent="0.2">
      <c r="M180" s="10" t="s">
        <v>439</v>
      </c>
      <c r="N180" s="10" t="s">
        <v>439</v>
      </c>
      <c r="O180" s="10" t="s">
        <v>439</v>
      </c>
      <c r="P180" s="10" t="s">
        <v>439</v>
      </c>
      <c r="Q180" s="10" t="s">
        <v>439</v>
      </c>
      <c r="R180" s="10" t="s">
        <v>439</v>
      </c>
      <c r="S180" s="10" t="s">
        <v>439</v>
      </c>
      <c r="U180" s="12" t="s">
        <v>439</v>
      </c>
      <c r="V180" s="23" t="s">
        <v>439</v>
      </c>
      <c r="W180" s="12" t="s">
        <v>439</v>
      </c>
      <c r="X180" s="12" t="s">
        <v>439</v>
      </c>
      <c r="Y180" s="12" t="s">
        <v>439</v>
      </c>
      <c r="Z180" s="12" t="s">
        <v>439</v>
      </c>
      <c r="AA180" s="12" t="s">
        <v>439</v>
      </c>
    </row>
    <row r="181" spans="13:27" x14ac:dyDescent="0.2">
      <c r="M181" s="10" t="s">
        <v>439</v>
      </c>
      <c r="N181" s="10" t="s">
        <v>439</v>
      </c>
      <c r="O181" s="10" t="s">
        <v>439</v>
      </c>
      <c r="P181" s="10" t="s">
        <v>439</v>
      </c>
      <c r="Q181" s="10" t="s">
        <v>439</v>
      </c>
      <c r="R181" s="10" t="s">
        <v>439</v>
      </c>
      <c r="S181" s="10" t="s">
        <v>439</v>
      </c>
      <c r="U181" s="12" t="s">
        <v>439</v>
      </c>
      <c r="V181" s="23" t="s">
        <v>439</v>
      </c>
      <c r="W181" s="12" t="s">
        <v>439</v>
      </c>
      <c r="X181" s="12" t="s">
        <v>439</v>
      </c>
      <c r="Y181" s="12" t="s">
        <v>439</v>
      </c>
      <c r="Z181" s="12" t="s">
        <v>439</v>
      </c>
      <c r="AA181" s="12" t="s">
        <v>439</v>
      </c>
    </row>
    <row r="182" spans="13:27" x14ac:dyDescent="0.2">
      <c r="M182" s="10" t="s">
        <v>439</v>
      </c>
      <c r="N182" s="10" t="s">
        <v>439</v>
      </c>
      <c r="O182" s="10" t="s">
        <v>439</v>
      </c>
      <c r="P182" s="10" t="s">
        <v>439</v>
      </c>
      <c r="Q182" s="10" t="s">
        <v>439</v>
      </c>
      <c r="R182" s="10" t="s">
        <v>439</v>
      </c>
      <c r="S182" s="10" t="s">
        <v>439</v>
      </c>
      <c r="U182" s="12" t="s">
        <v>439</v>
      </c>
      <c r="V182" s="23" t="s">
        <v>439</v>
      </c>
      <c r="W182" s="12" t="s">
        <v>439</v>
      </c>
      <c r="X182" s="12" t="s">
        <v>439</v>
      </c>
      <c r="Y182" s="12" t="s">
        <v>439</v>
      </c>
      <c r="Z182" s="12" t="s">
        <v>439</v>
      </c>
      <c r="AA182" s="12" t="s">
        <v>439</v>
      </c>
    </row>
    <row r="183" spans="13:27" x14ac:dyDescent="0.2">
      <c r="M183" s="10" t="s">
        <v>439</v>
      </c>
      <c r="N183" s="10" t="s">
        <v>439</v>
      </c>
      <c r="O183" s="10" t="s">
        <v>439</v>
      </c>
      <c r="P183" s="10" t="s">
        <v>439</v>
      </c>
      <c r="Q183" s="10" t="s">
        <v>439</v>
      </c>
      <c r="R183" s="10" t="s">
        <v>439</v>
      </c>
      <c r="S183" s="10" t="s">
        <v>439</v>
      </c>
      <c r="U183" s="12" t="s">
        <v>439</v>
      </c>
      <c r="V183" s="23" t="s">
        <v>439</v>
      </c>
      <c r="W183" s="12" t="s">
        <v>439</v>
      </c>
      <c r="X183" s="12" t="s">
        <v>439</v>
      </c>
      <c r="Y183" s="12" t="s">
        <v>439</v>
      </c>
      <c r="Z183" s="12" t="s">
        <v>439</v>
      </c>
      <c r="AA183" s="12" t="s">
        <v>439</v>
      </c>
    </row>
    <row r="184" spans="13:27" x14ac:dyDescent="0.2">
      <c r="M184" s="10" t="s">
        <v>439</v>
      </c>
      <c r="N184" s="10" t="s">
        <v>439</v>
      </c>
      <c r="O184" s="10" t="s">
        <v>439</v>
      </c>
      <c r="P184" s="10" t="s">
        <v>439</v>
      </c>
      <c r="Q184" s="10" t="s">
        <v>439</v>
      </c>
      <c r="R184" s="10" t="s">
        <v>439</v>
      </c>
      <c r="S184" s="10" t="s">
        <v>439</v>
      </c>
      <c r="U184" s="12" t="s">
        <v>439</v>
      </c>
      <c r="V184" s="23" t="s">
        <v>439</v>
      </c>
      <c r="W184" s="12" t="s">
        <v>439</v>
      </c>
      <c r="X184" s="12" t="s">
        <v>439</v>
      </c>
      <c r="Y184" s="12" t="s">
        <v>439</v>
      </c>
      <c r="Z184" s="12" t="s">
        <v>439</v>
      </c>
      <c r="AA184" s="12" t="s">
        <v>439</v>
      </c>
    </row>
    <row r="185" spans="13:27" x14ac:dyDescent="0.2">
      <c r="M185" s="10" t="s">
        <v>439</v>
      </c>
      <c r="N185" s="10" t="s">
        <v>439</v>
      </c>
      <c r="O185" s="10" t="s">
        <v>439</v>
      </c>
      <c r="P185" s="10" t="s">
        <v>439</v>
      </c>
      <c r="Q185" s="10" t="s">
        <v>439</v>
      </c>
      <c r="R185" s="10" t="s">
        <v>439</v>
      </c>
      <c r="S185" s="10" t="s">
        <v>439</v>
      </c>
      <c r="U185" s="12" t="s">
        <v>439</v>
      </c>
      <c r="V185" s="23" t="s">
        <v>439</v>
      </c>
      <c r="W185" s="12" t="s">
        <v>439</v>
      </c>
      <c r="X185" s="12" t="s">
        <v>439</v>
      </c>
      <c r="Y185" s="12" t="s">
        <v>439</v>
      </c>
      <c r="Z185" s="12" t="s">
        <v>439</v>
      </c>
      <c r="AA185" s="12" t="s">
        <v>439</v>
      </c>
    </row>
    <row r="186" spans="13:27" x14ac:dyDescent="0.2">
      <c r="M186" s="10" t="s">
        <v>439</v>
      </c>
      <c r="N186" s="10" t="s">
        <v>439</v>
      </c>
      <c r="O186" s="10" t="s">
        <v>439</v>
      </c>
      <c r="P186" s="10" t="s">
        <v>439</v>
      </c>
      <c r="Q186" s="10" t="s">
        <v>439</v>
      </c>
      <c r="R186" s="10" t="s">
        <v>439</v>
      </c>
      <c r="S186" s="10" t="s">
        <v>439</v>
      </c>
      <c r="U186" s="12" t="s">
        <v>439</v>
      </c>
      <c r="V186" s="23" t="s">
        <v>439</v>
      </c>
      <c r="W186" s="12" t="s">
        <v>439</v>
      </c>
      <c r="X186" s="12" t="s">
        <v>439</v>
      </c>
      <c r="Y186" s="12" t="s">
        <v>439</v>
      </c>
      <c r="Z186" s="12" t="s">
        <v>439</v>
      </c>
      <c r="AA186" s="12" t="s">
        <v>439</v>
      </c>
    </row>
    <row r="187" spans="13:27" x14ac:dyDescent="0.2">
      <c r="M187" s="10" t="s">
        <v>439</v>
      </c>
      <c r="N187" s="10" t="s">
        <v>439</v>
      </c>
      <c r="O187" s="10" t="s">
        <v>439</v>
      </c>
      <c r="P187" s="10" t="s">
        <v>439</v>
      </c>
      <c r="Q187" s="10" t="s">
        <v>439</v>
      </c>
      <c r="R187" s="10" t="s">
        <v>439</v>
      </c>
      <c r="S187" s="10" t="s">
        <v>439</v>
      </c>
      <c r="U187" s="12" t="s">
        <v>439</v>
      </c>
      <c r="V187" s="23" t="s">
        <v>439</v>
      </c>
      <c r="W187" s="12" t="s">
        <v>439</v>
      </c>
      <c r="X187" s="12" t="s">
        <v>439</v>
      </c>
      <c r="Y187" s="12" t="s">
        <v>439</v>
      </c>
      <c r="Z187" s="12" t="s">
        <v>439</v>
      </c>
      <c r="AA187" s="12" t="s">
        <v>439</v>
      </c>
    </row>
    <row r="188" spans="13:27" x14ac:dyDescent="0.2">
      <c r="M188" s="10" t="s">
        <v>439</v>
      </c>
      <c r="N188" s="10" t="s">
        <v>439</v>
      </c>
      <c r="O188" s="10" t="s">
        <v>439</v>
      </c>
      <c r="P188" s="10" t="s">
        <v>439</v>
      </c>
      <c r="Q188" s="10" t="s">
        <v>439</v>
      </c>
      <c r="R188" s="10" t="s">
        <v>439</v>
      </c>
      <c r="S188" s="10" t="s">
        <v>439</v>
      </c>
      <c r="U188" s="12" t="s">
        <v>439</v>
      </c>
      <c r="V188" s="23" t="s">
        <v>439</v>
      </c>
      <c r="W188" s="12" t="s">
        <v>439</v>
      </c>
      <c r="X188" s="12" t="s">
        <v>439</v>
      </c>
      <c r="Y188" s="12" t="s">
        <v>439</v>
      </c>
      <c r="Z188" s="12" t="s">
        <v>439</v>
      </c>
      <c r="AA188" s="12" t="s">
        <v>439</v>
      </c>
    </row>
    <row r="189" spans="13:27" x14ac:dyDescent="0.2">
      <c r="M189" s="10" t="s">
        <v>439</v>
      </c>
      <c r="N189" s="10" t="s">
        <v>439</v>
      </c>
      <c r="O189" s="10" t="s">
        <v>439</v>
      </c>
      <c r="P189" s="10" t="s">
        <v>439</v>
      </c>
      <c r="Q189" s="10" t="s">
        <v>439</v>
      </c>
      <c r="R189" s="10" t="s">
        <v>439</v>
      </c>
      <c r="S189" s="10" t="s">
        <v>439</v>
      </c>
      <c r="U189" s="12" t="s">
        <v>439</v>
      </c>
      <c r="V189" s="23" t="s">
        <v>439</v>
      </c>
      <c r="W189" s="12" t="s">
        <v>439</v>
      </c>
      <c r="X189" s="12" t="s">
        <v>439</v>
      </c>
      <c r="Y189" s="12" t="s">
        <v>439</v>
      </c>
      <c r="Z189" s="12" t="s">
        <v>439</v>
      </c>
      <c r="AA189" s="12" t="s">
        <v>439</v>
      </c>
    </row>
    <row r="190" spans="13:27" x14ac:dyDescent="0.2">
      <c r="M190" s="10" t="s">
        <v>439</v>
      </c>
      <c r="N190" s="10" t="s">
        <v>439</v>
      </c>
      <c r="O190" s="10" t="s">
        <v>439</v>
      </c>
      <c r="P190" s="10" t="s">
        <v>439</v>
      </c>
      <c r="Q190" s="10" t="s">
        <v>439</v>
      </c>
      <c r="R190" s="10" t="s">
        <v>439</v>
      </c>
      <c r="S190" s="10" t="s">
        <v>439</v>
      </c>
      <c r="U190" s="12" t="s">
        <v>439</v>
      </c>
      <c r="V190" s="23" t="s">
        <v>439</v>
      </c>
      <c r="W190" s="12" t="s">
        <v>439</v>
      </c>
      <c r="X190" s="12" t="s">
        <v>439</v>
      </c>
      <c r="Y190" s="12" t="s">
        <v>439</v>
      </c>
      <c r="Z190" s="12" t="s">
        <v>439</v>
      </c>
      <c r="AA190" s="12" t="s">
        <v>439</v>
      </c>
    </row>
    <row r="191" spans="13:27" x14ac:dyDescent="0.2">
      <c r="M191" s="10" t="s">
        <v>439</v>
      </c>
      <c r="N191" s="10" t="s">
        <v>439</v>
      </c>
      <c r="O191" s="10" t="s">
        <v>439</v>
      </c>
      <c r="P191" s="10" t="s">
        <v>439</v>
      </c>
      <c r="Q191" s="10" t="s">
        <v>439</v>
      </c>
      <c r="R191" s="10" t="s">
        <v>439</v>
      </c>
      <c r="S191" s="10" t="s">
        <v>439</v>
      </c>
      <c r="U191" s="12" t="s">
        <v>439</v>
      </c>
      <c r="V191" s="23" t="s">
        <v>439</v>
      </c>
      <c r="W191" s="12" t="s">
        <v>439</v>
      </c>
      <c r="X191" s="12" t="s">
        <v>439</v>
      </c>
      <c r="Y191" s="12" t="s">
        <v>439</v>
      </c>
      <c r="Z191" s="12" t="s">
        <v>439</v>
      </c>
      <c r="AA191" s="12" t="s">
        <v>439</v>
      </c>
    </row>
    <row r="192" spans="13:27" x14ac:dyDescent="0.2">
      <c r="M192" s="10" t="s">
        <v>439</v>
      </c>
      <c r="N192" s="10" t="s">
        <v>439</v>
      </c>
      <c r="O192" s="10" t="s">
        <v>439</v>
      </c>
      <c r="P192" s="10" t="s">
        <v>439</v>
      </c>
      <c r="Q192" s="10" t="s">
        <v>439</v>
      </c>
      <c r="R192" s="10" t="s">
        <v>439</v>
      </c>
      <c r="S192" s="10" t="s">
        <v>439</v>
      </c>
      <c r="U192" s="12" t="s">
        <v>439</v>
      </c>
      <c r="V192" s="23" t="s">
        <v>439</v>
      </c>
      <c r="W192" s="12" t="s">
        <v>439</v>
      </c>
      <c r="X192" s="12" t="s">
        <v>439</v>
      </c>
      <c r="Y192" s="12" t="s">
        <v>439</v>
      </c>
      <c r="Z192" s="12" t="s">
        <v>439</v>
      </c>
      <c r="AA192" s="12" t="s">
        <v>439</v>
      </c>
    </row>
    <row r="193" spans="13:27" x14ac:dyDescent="0.2">
      <c r="M193" s="10" t="s">
        <v>439</v>
      </c>
      <c r="N193" s="10" t="s">
        <v>439</v>
      </c>
      <c r="O193" s="10" t="s">
        <v>439</v>
      </c>
      <c r="P193" s="10" t="s">
        <v>439</v>
      </c>
      <c r="Q193" s="10" t="s">
        <v>439</v>
      </c>
      <c r="R193" s="10" t="s">
        <v>439</v>
      </c>
      <c r="S193" s="10" t="s">
        <v>439</v>
      </c>
      <c r="U193" s="12" t="s">
        <v>439</v>
      </c>
      <c r="V193" s="23" t="s">
        <v>439</v>
      </c>
      <c r="W193" s="12" t="s">
        <v>439</v>
      </c>
      <c r="X193" s="12" t="s">
        <v>439</v>
      </c>
      <c r="Y193" s="12" t="s">
        <v>439</v>
      </c>
      <c r="Z193" s="12" t="s">
        <v>439</v>
      </c>
      <c r="AA193" s="12" t="s">
        <v>439</v>
      </c>
    </row>
    <row r="194" spans="13:27" x14ac:dyDescent="0.2">
      <c r="M194" s="10" t="s">
        <v>439</v>
      </c>
      <c r="N194" s="10" t="s">
        <v>439</v>
      </c>
      <c r="O194" s="10" t="s">
        <v>439</v>
      </c>
      <c r="P194" s="10" t="s">
        <v>439</v>
      </c>
      <c r="Q194" s="10" t="s">
        <v>439</v>
      </c>
      <c r="R194" s="10" t="s">
        <v>439</v>
      </c>
      <c r="S194" s="10" t="s">
        <v>439</v>
      </c>
      <c r="U194" s="12" t="s">
        <v>439</v>
      </c>
      <c r="V194" s="23" t="s">
        <v>439</v>
      </c>
      <c r="W194" s="12" t="s">
        <v>439</v>
      </c>
      <c r="X194" s="12" t="s">
        <v>439</v>
      </c>
      <c r="Y194" s="12" t="s">
        <v>439</v>
      </c>
      <c r="Z194" s="12" t="s">
        <v>439</v>
      </c>
      <c r="AA194" s="12" t="s">
        <v>439</v>
      </c>
    </row>
    <row r="195" spans="13:27" x14ac:dyDescent="0.2">
      <c r="M195" s="10" t="s">
        <v>439</v>
      </c>
      <c r="N195" s="10" t="s">
        <v>439</v>
      </c>
      <c r="O195" s="10" t="s">
        <v>439</v>
      </c>
      <c r="P195" s="10" t="s">
        <v>439</v>
      </c>
      <c r="Q195" s="10" t="s">
        <v>439</v>
      </c>
      <c r="R195" s="10" t="s">
        <v>439</v>
      </c>
      <c r="S195" s="10" t="s">
        <v>439</v>
      </c>
      <c r="U195" s="12" t="s">
        <v>439</v>
      </c>
      <c r="V195" s="23" t="s">
        <v>439</v>
      </c>
      <c r="W195" s="12" t="s">
        <v>439</v>
      </c>
      <c r="X195" s="12" t="s">
        <v>439</v>
      </c>
      <c r="Y195" s="12" t="s">
        <v>439</v>
      </c>
      <c r="Z195" s="12" t="s">
        <v>439</v>
      </c>
      <c r="AA195" s="12" t="s">
        <v>439</v>
      </c>
    </row>
    <row r="196" spans="13:27" x14ac:dyDescent="0.2">
      <c r="M196" s="10" t="s">
        <v>439</v>
      </c>
      <c r="N196" s="10" t="s">
        <v>439</v>
      </c>
      <c r="O196" s="10" t="s">
        <v>439</v>
      </c>
      <c r="P196" s="10" t="s">
        <v>439</v>
      </c>
      <c r="Q196" s="10" t="s">
        <v>439</v>
      </c>
      <c r="R196" s="10" t="s">
        <v>439</v>
      </c>
      <c r="S196" s="10" t="s">
        <v>439</v>
      </c>
      <c r="U196" s="12" t="s">
        <v>439</v>
      </c>
      <c r="V196" s="23" t="s">
        <v>439</v>
      </c>
      <c r="W196" s="12" t="s">
        <v>439</v>
      </c>
      <c r="X196" s="12" t="s">
        <v>439</v>
      </c>
      <c r="Y196" s="12" t="s">
        <v>439</v>
      </c>
      <c r="Z196" s="12" t="s">
        <v>439</v>
      </c>
      <c r="AA196" s="12" t="s">
        <v>439</v>
      </c>
    </row>
    <row r="197" spans="13:27" x14ac:dyDescent="0.2">
      <c r="M197" s="10" t="s">
        <v>439</v>
      </c>
      <c r="N197" s="10" t="s">
        <v>439</v>
      </c>
      <c r="O197" s="10" t="s">
        <v>439</v>
      </c>
      <c r="P197" s="10" t="s">
        <v>439</v>
      </c>
      <c r="Q197" s="10" t="s">
        <v>439</v>
      </c>
      <c r="R197" s="10" t="s">
        <v>439</v>
      </c>
      <c r="S197" s="10" t="s">
        <v>439</v>
      </c>
      <c r="U197" s="12" t="s">
        <v>439</v>
      </c>
      <c r="V197" s="23" t="s">
        <v>439</v>
      </c>
      <c r="W197" s="12" t="s">
        <v>439</v>
      </c>
      <c r="X197" s="12" t="s">
        <v>439</v>
      </c>
      <c r="Y197" s="12" t="s">
        <v>439</v>
      </c>
      <c r="Z197" s="12" t="s">
        <v>439</v>
      </c>
      <c r="AA197" s="12" t="s">
        <v>439</v>
      </c>
    </row>
    <row r="198" spans="13:27" x14ac:dyDescent="0.2">
      <c r="M198" s="10" t="s">
        <v>439</v>
      </c>
      <c r="N198" s="10" t="s">
        <v>439</v>
      </c>
      <c r="O198" s="10" t="s">
        <v>439</v>
      </c>
      <c r="P198" s="10" t="s">
        <v>439</v>
      </c>
      <c r="Q198" s="10" t="s">
        <v>439</v>
      </c>
      <c r="R198" s="10" t="s">
        <v>439</v>
      </c>
      <c r="S198" s="10" t="s">
        <v>439</v>
      </c>
      <c r="U198" s="12" t="s">
        <v>439</v>
      </c>
      <c r="V198" s="23" t="s">
        <v>439</v>
      </c>
      <c r="W198" s="12" t="s">
        <v>439</v>
      </c>
      <c r="X198" s="12" t="s">
        <v>439</v>
      </c>
      <c r="Y198" s="12" t="s">
        <v>439</v>
      </c>
      <c r="Z198" s="12" t="s">
        <v>439</v>
      </c>
      <c r="AA198" s="12" t="s">
        <v>439</v>
      </c>
    </row>
    <row r="199" spans="13:27" x14ac:dyDescent="0.2">
      <c r="M199" s="10" t="s">
        <v>439</v>
      </c>
      <c r="N199" s="10" t="s">
        <v>439</v>
      </c>
      <c r="O199" s="10" t="s">
        <v>439</v>
      </c>
      <c r="P199" s="10" t="s">
        <v>439</v>
      </c>
      <c r="Q199" s="10" t="s">
        <v>439</v>
      </c>
      <c r="R199" s="10" t="s">
        <v>439</v>
      </c>
      <c r="S199" s="10" t="s">
        <v>439</v>
      </c>
      <c r="U199" s="12" t="s">
        <v>439</v>
      </c>
      <c r="V199" s="23" t="s">
        <v>439</v>
      </c>
      <c r="W199" s="12" t="s">
        <v>439</v>
      </c>
      <c r="X199" s="12" t="s">
        <v>439</v>
      </c>
      <c r="Y199" s="12" t="s">
        <v>439</v>
      </c>
      <c r="Z199" s="12" t="s">
        <v>439</v>
      </c>
      <c r="AA199" s="12" t="s">
        <v>439</v>
      </c>
    </row>
    <row r="200" spans="13:27" x14ac:dyDescent="0.2">
      <c r="M200" s="10" t="s">
        <v>439</v>
      </c>
      <c r="N200" s="10" t="s">
        <v>439</v>
      </c>
      <c r="O200" s="10" t="s">
        <v>439</v>
      </c>
      <c r="P200" s="10" t="s">
        <v>439</v>
      </c>
      <c r="Q200" s="10" t="s">
        <v>439</v>
      </c>
      <c r="R200" s="10" t="s">
        <v>439</v>
      </c>
      <c r="S200" s="10" t="s">
        <v>439</v>
      </c>
      <c r="U200" s="12" t="s">
        <v>439</v>
      </c>
      <c r="V200" s="23" t="s">
        <v>439</v>
      </c>
      <c r="W200" s="12" t="s">
        <v>439</v>
      </c>
      <c r="X200" s="12" t="s">
        <v>439</v>
      </c>
      <c r="Y200" s="12" t="s">
        <v>439</v>
      </c>
      <c r="Z200" s="12" t="s">
        <v>439</v>
      </c>
      <c r="AA200" s="12" t="s">
        <v>439</v>
      </c>
    </row>
    <row r="201" spans="13:27" x14ac:dyDescent="0.2">
      <c r="M201" s="10" t="s">
        <v>439</v>
      </c>
      <c r="N201" s="10" t="s">
        <v>439</v>
      </c>
      <c r="O201" s="10" t="s">
        <v>439</v>
      </c>
      <c r="P201" s="10" t="s">
        <v>439</v>
      </c>
      <c r="Q201" s="10" t="s">
        <v>439</v>
      </c>
      <c r="R201" s="10" t="s">
        <v>439</v>
      </c>
      <c r="S201" s="10" t="s">
        <v>439</v>
      </c>
      <c r="U201" s="12" t="s">
        <v>439</v>
      </c>
      <c r="V201" s="23" t="s">
        <v>439</v>
      </c>
      <c r="W201" s="12" t="s">
        <v>439</v>
      </c>
      <c r="X201" s="12" t="s">
        <v>439</v>
      </c>
      <c r="Y201" s="12" t="s">
        <v>439</v>
      </c>
      <c r="Z201" s="12" t="s">
        <v>439</v>
      </c>
      <c r="AA201" s="12" t="s">
        <v>439</v>
      </c>
    </row>
    <row r="202" spans="13:27" x14ac:dyDescent="0.2">
      <c r="M202" s="10" t="s">
        <v>439</v>
      </c>
      <c r="N202" s="10" t="s">
        <v>439</v>
      </c>
      <c r="O202" s="10" t="s">
        <v>439</v>
      </c>
      <c r="P202" s="10" t="s">
        <v>439</v>
      </c>
      <c r="Q202" s="10" t="s">
        <v>439</v>
      </c>
      <c r="R202" s="10" t="s">
        <v>439</v>
      </c>
      <c r="S202" s="10" t="s">
        <v>439</v>
      </c>
      <c r="U202" s="12" t="s">
        <v>439</v>
      </c>
      <c r="V202" s="23" t="s">
        <v>439</v>
      </c>
      <c r="W202" s="12" t="s">
        <v>439</v>
      </c>
      <c r="X202" s="12" t="s">
        <v>439</v>
      </c>
      <c r="Y202" s="12" t="s">
        <v>439</v>
      </c>
      <c r="Z202" s="12" t="s">
        <v>439</v>
      </c>
      <c r="AA202" s="12" t="s">
        <v>439</v>
      </c>
    </row>
    <row r="203" spans="13:27" x14ac:dyDescent="0.2">
      <c r="M203" s="10" t="s">
        <v>439</v>
      </c>
      <c r="N203" s="10" t="s">
        <v>439</v>
      </c>
      <c r="O203" s="10" t="s">
        <v>439</v>
      </c>
      <c r="P203" s="10" t="s">
        <v>439</v>
      </c>
      <c r="Q203" s="10" t="s">
        <v>439</v>
      </c>
      <c r="R203" s="10" t="s">
        <v>439</v>
      </c>
      <c r="S203" s="10" t="s">
        <v>439</v>
      </c>
      <c r="U203" s="12" t="s">
        <v>439</v>
      </c>
      <c r="V203" s="23" t="s">
        <v>439</v>
      </c>
      <c r="W203" s="12" t="s">
        <v>439</v>
      </c>
      <c r="X203" s="12" t="s">
        <v>439</v>
      </c>
      <c r="Y203" s="12" t="s">
        <v>439</v>
      </c>
      <c r="Z203" s="12" t="s">
        <v>439</v>
      </c>
      <c r="AA203" s="12" t="s">
        <v>439</v>
      </c>
    </row>
    <row r="204" spans="13:27" x14ac:dyDescent="0.2">
      <c r="M204" s="10" t="s">
        <v>439</v>
      </c>
      <c r="N204" s="10" t="s">
        <v>439</v>
      </c>
      <c r="O204" s="10" t="s">
        <v>439</v>
      </c>
      <c r="P204" s="10" t="s">
        <v>439</v>
      </c>
      <c r="Q204" s="10" t="s">
        <v>439</v>
      </c>
      <c r="R204" s="10" t="s">
        <v>439</v>
      </c>
      <c r="S204" s="10" t="s">
        <v>439</v>
      </c>
      <c r="U204" s="12" t="s">
        <v>439</v>
      </c>
      <c r="V204" s="23" t="s">
        <v>439</v>
      </c>
      <c r="W204" s="12" t="s">
        <v>439</v>
      </c>
      <c r="X204" s="12" t="s">
        <v>439</v>
      </c>
      <c r="Y204" s="12" t="s">
        <v>439</v>
      </c>
      <c r="Z204" s="12" t="s">
        <v>439</v>
      </c>
      <c r="AA204" s="12" t="s">
        <v>439</v>
      </c>
    </row>
    <row r="205" spans="13:27" x14ac:dyDescent="0.2">
      <c r="M205" s="10" t="s">
        <v>439</v>
      </c>
      <c r="N205" s="10" t="s">
        <v>439</v>
      </c>
      <c r="O205" s="10" t="s">
        <v>439</v>
      </c>
      <c r="P205" s="10" t="s">
        <v>439</v>
      </c>
      <c r="Q205" s="10" t="s">
        <v>439</v>
      </c>
      <c r="R205" s="10" t="s">
        <v>439</v>
      </c>
      <c r="S205" s="10" t="s">
        <v>439</v>
      </c>
      <c r="U205" s="12" t="s">
        <v>439</v>
      </c>
      <c r="V205" s="23" t="s">
        <v>439</v>
      </c>
      <c r="W205" s="12" t="s">
        <v>439</v>
      </c>
      <c r="X205" s="12" t="s">
        <v>439</v>
      </c>
      <c r="Y205" s="12" t="s">
        <v>439</v>
      </c>
      <c r="Z205" s="12" t="s">
        <v>439</v>
      </c>
      <c r="AA205" s="12" t="s">
        <v>439</v>
      </c>
    </row>
    <row r="206" spans="13:27" x14ac:dyDescent="0.2">
      <c r="M206" s="10" t="s">
        <v>439</v>
      </c>
      <c r="N206" s="10" t="s">
        <v>439</v>
      </c>
      <c r="O206" s="10" t="s">
        <v>439</v>
      </c>
      <c r="P206" s="10" t="s">
        <v>439</v>
      </c>
      <c r="Q206" s="10" t="s">
        <v>439</v>
      </c>
      <c r="R206" s="10" t="s">
        <v>439</v>
      </c>
      <c r="S206" s="10" t="s">
        <v>439</v>
      </c>
      <c r="U206" s="12" t="s">
        <v>439</v>
      </c>
      <c r="V206" s="23" t="s">
        <v>439</v>
      </c>
      <c r="W206" s="12" t="s">
        <v>439</v>
      </c>
      <c r="X206" s="12" t="s">
        <v>439</v>
      </c>
      <c r="Y206" s="12" t="s">
        <v>439</v>
      </c>
      <c r="Z206" s="12" t="s">
        <v>439</v>
      </c>
      <c r="AA206" s="12" t="s">
        <v>439</v>
      </c>
    </row>
    <row r="207" spans="13:27" x14ac:dyDescent="0.2">
      <c r="M207" s="10" t="s">
        <v>439</v>
      </c>
      <c r="N207" s="10" t="s">
        <v>439</v>
      </c>
      <c r="O207" s="10" t="s">
        <v>439</v>
      </c>
      <c r="P207" s="10" t="s">
        <v>439</v>
      </c>
      <c r="Q207" s="10" t="s">
        <v>439</v>
      </c>
      <c r="R207" s="10" t="s">
        <v>439</v>
      </c>
      <c r="S207" s="10" t="s">
        <v>439</v>
      </c>
      <c r="U207" s="12" t="s">
        <v>439</v>
      </c>
      <c r="V207" s="23" t="s">
        <v>439</v>
      </c>
      <c r="W207" s="12" t="s">
        <v>439</v>
      </c>
      <c r="X207" s="12" t="s">
        <v>439</v>
      </c>
      <c r="Y207" s="12" t="s">
        <v>439</v>
      </c>
      <c r="Z207" s="12" t="s">
        <v>439</v>
      </c>
      <c r="AA207" s="12" t="s">
        <v>439</v>
      </c>
    </row>
    <row r="208" spans="13:27" x14ac:dyDescent="0.2">
      <c r="M208" s="10" t="s">
        <v>439</v>
      </c>
      <c r="N208" s="10" t="s">
        <v>439</v>
      </c>
      <c r="O208" s="10" t="s">
        <v>439</v>
      </c>
      <c r="P208" s="10" t="s">
        <v>439</v>
      </c>
      <c r="Q208" s="10" t="s">
        <v>439</v>
      </c>
      <c r="R208" s="10" t="s">
        <v>439</v>
      </c>
      <c r="S208" s="10" t="s">
        <v>439</v>
      </c>
      <c r="U208" s="12" t="s">
        <v>439</v>
      </c>
      <c r="V208" s="23" t="s">
        <v>439</v>
      </c>
      <c r="W208" s="12" t="s">
        <v>439</v>
      </c>
      <c r="X208" s="12" t="s">
        <v>439</v>
      </c>
      <c r="Y208" s="12" t="s">
        <v>439</v>
      </c>
      <c r="Z208" s="12" t="s">
        <v>439</v>
      </c>
      <c r="AA208" s="12" t="s">
        <v>439</v>
      </c>
    </row>
    <row r="209" spans="13:27" x14ac:dyDescent="0.2">
      <c r="M209" s="10" t="s">
        <v>439</v>
      </c>
      <c r="N209" s="10" t="s">
        <v>439</v>
      </c>
      <c r="O209" s="10" t="s">
        <v>439</v>
      </c>
      <c r="P209" s="10" t="s">
        <v>439</v>
      </c>
      <c r="Q209" s="10" t="s">
        <v>439</v>
      </c>
      <c r="R209" s="10" t="s">
        <v>439</v>
      </c>
      <c r="S209" s="10" t="s">
        <v>439</v>
      </c>
      <c r="U209" s="12" t="s">
        <v>439</v>
      </c>
      <c r="V209" s="23" t="s">
        <v>439</v>
      </c>
      <c r="W209" s="12" t="s">
        <v>439</v>
      </c>
      <c r="X209" s="12" t="s">
        <v>439</v>
      </c>
      <c r="Y209" s="12" t="s">
        <v>439</v>
      </c>
      <c r="Z209" s="12" t="s">
        <v>439</v>
      </c>
      <c r="AA209" s="12" t="s">
        <v>439</v>
      </c>
    </row>
    <row r="210" spans="13:27" x14ac:dyDescent="0.2">
      <c r="M210" s="10" t="s">
        <v>439</v>
      </c>
      <c r="N210" s="10" t="s">
        <v>439</v>
      </c>
      <c r="O210" s="10" t="s">
        <v>439</v>
      </c>
      <c r="P210" s="10" t="s">
        <v>439</v>
      </c>
      <c r="Q210" s="10" t="s">
        <v>439</v>
      </c>
      <c r="R210" s="10" t="s">
        <v>439</v>
      </c>
      <c r="S210" s="10" t="s">
        <v>439</v>
      </c>
      <c r="U210" s="12" t="s">
        <v>439</v>
      </c>
      <c r="V210" s="23" t="s">
        <v>439</v>
      </c>
      <c r="W210" s="12" t="s">
        <v>439</v>
      </c>
      <c r="X210" s="12" t="s">
        <v>439</v>
      </c>
      <c r="Y210" s="12" t="s">
        <v>439</v>
      </c>
      <c r="Z210" s="12" t="s">
        <v>439</v>
      </c>
      <c r="AA210" s="12" t="s">
        <v>439</v>
      </c>
    </row>
    <row r="211" spans="13:27" x14ac:dyDescent="0.2">
      <c r="M211" s="10" t="s">
        <v>439</v>
      </c>
      <c r="N211" s="10" t="s">
        <v>439</v>
      </c>
      <c r="O211" s="10" t="s">
        <v>439</v>
      </c>
      <c r="P211" s="10" t="s">
        <v>439</v>
      </c>
      <c r="Q211" s="10" t="s">
        <v>439</v>
      </c>
      <c r="R211" s="10" t="s">
        <v>439</v>
      </c>
      <c r="S211" s="10" t="s">
        <v>439</v>
      </c>
      <c r="U211" s="12" t="s">
        <v>439</v>
      </c>
      <c r="V211" s="23" t="s">
        <v>439</v>
      </c>
      <c r="W211" s="12" t="s">
        <v>439</v>
      </c>
      <c r="X211" s="12" t="s">
        <v>439</v>
      </c>
      <c r="Y211" s="12" t="s">
        <v>439</v>
      </c>
      <c r="Z211" s="12" t="s">
        <v>439</v>
      </c>
      <c r="AA211" s="12" t="s">
        <v>439</v>
      </c>
    </row>
    <row r="212" spans="13:27" x14ac:dyDescent="0.2">
      <c r="M212" s="10" t="s">
        <v>439</v>
      </c>
      <c r="N212" s="10" t="s">
        <v>439</v>
      </c>
      <c r="O212" s="10" t="s">
        <v>439</v>
      </c>
      <c r="P212" s="10" t="s">
        <v>439</v>
      </c>
      <c r="Q212" s="10" t="s">
        <v>439</v>
      </c>
      <c r="R212" s="10" t="s">
        <v>439</v>
      </c>
      <c r="S212" s="10" t="s">
        <v>439</v>
      </c>
      <c r="U212" s="12" t="s">
        <v>439</v>
      </c>
      <c r="V212" s="23" t="s">
        <v>439</v>
      </c>
      <c r="W212" s="12" t="s">
        <v>439</v>
      </c>
      <c r="X212" s="12" t="s">
        <v>439</v>
      </c>
      <c r="Y212" s="12" t="s">
        <v>439</v>
      </c>
      <c r="Z212" s="12" t="s">
        <v>439</v>
      </c>
      <c r="AA212" s="12" t="s">
        <v>439</v>
      </c>
    </row>
    <row r="213" spans="13:27" x14ac:dyDescent="0.2">
      <c r="M213" s="10" t="s">
        <v>439</v>
      </c>
      <c r="N213" s="10" t="s">
        <v>439</v>
      </c>
      <c r="O213" s="10" t="s">
        <v>439</v>
      </c>
      <c r="P213" s="10" t="s">
        <v>439</v>
      </c>
      <c r="Q213" s="10" t="s">
        <v>439</v>
      </c>
      <c r="R213" s="10" t="s">
        <v>439</v>
      </c>
      <c r="S213" s="10" t="s">
        <v>439</v>
      </c>
      <c r="U213" s="12" t="s">
        <v>439</v>
      </c>
      <c r="V213" s="23" t="s">
        <v>439</v>
      </c>
      <c r="W213" s="12" t="s">
        <v>439</v>
      </c>
      <c r="X213" s="12" t="s">
        <v>439</v>
      </c>
      <c r="Y213" s="12" t="s">
        <v>439</v>
      </c>
      <c r="Z213" s="12" t="s">
        <v>439</v>
      </c>
      <c r="AA213" s="12" t="s">
        <v>439</v>
      </c>
    </row>
    <row r="214" spans="13:27" x14ac:dyDescent="0.2">
      <c r="M214" s="10" t="s">
        <v>439</v>
      </c>
      <c r="N214" s="10" t="s">
        <v>439</v>
      </c>
      <c r="O214" s="10" t="s">
        <v>439</v>
      </c>
      <c r="P214" s="10" t="s">
        <v>439</v>
      </c>
      <c r="Q214" s="10" t="s">
        <v>439</v>
      </c>
      <c r="R214" s="10" t="s">
        <v>439</v>
      </c>
      <c r="S214" s="10" t="s">
        <v>439</v>
      </c>
      <c r="U214" s="12" t="s">
        <v>439</v>
      </c>
      <c r="V214" s="23" t="s">
        <v>439</v>
      </c>
      <c r="W214" s="12" t="s">
        <v>439</v>
      </c>
      <c r="X214" s="12" t="s">
        <v>439</v>
      </c>
      <c r="Y214" s="12" t="s">
        <v>439</v>
      </c>
      <c r="Z214" s="12" t="s">
        <v>439</v>
      </c>
      <c r="AA214" s="12" t="s">
        <v>439</v>
      </c>
    </row>
    <row r="215" spans="13:27" x14ac:dyDescent="0.2">
      <c r="M215" s="10" t="s">
        <v>439</v>
      </c>
      <c r="N215" s="10" t="s">
        <v>439</v>
      </c>
      <c r="O215" s="10" t="s">
        <v>439</v>
      </c>
      <c r="P215" s="10" t="s">
        <v>439</v>
      </c>
      <c r="Q215" s="10" t="s">
        <v>439</v>
      </c>
      <c r="R215" s="10" t="s">
        <v>439</v>
      </c>
      <c r="S215" s="10" t="s">
        <v>439</v>
      </c>
      <c r="U215" s="12" t="s">
        <v>439</v>
      </c>
      <c r="V215" s="23" t="s">
        <v>439</v>
      </c>
      <c r="W215" s="12" t="s">
        <v>439</v>
      </c>
      <c r="X215" s="12" t="s">
        <v>439</v>
      </c>
      <c r="Y215" s="12" t="s">
        <v>439</v>
      </c>
      <c r="Z215" s="12" t="s">
        <v>439</v>
      </c>
      <c r="AA215" s="12" t="s">
        <v>439</v>
      </c>
    </row>
    <row r="216" spans="13:27" x14ac:dyDescent="0.2">
      <c r="M216" s="10" t="s">
        <v>439</v>
      </c>
      <c r="N216" s="10" t="s">
        <v>439</v>
      </c>
      <c r="O216" s="10" t="s">
        <v>439</v>
      </c>
      <c r="P216" s="10" t="s">
        <v>439</v>
      </c>
      <c r="Q216" s="10" t="s">
        <v>439</v>
      </c>
      <c r="R216" s="10" t="s">
        <v>439</v>
      </c>
      <c r="S216" s="10" t="s">
        <v>439</v>
      </c>
      <c r="U216" s="12" t="s">
        <v>439</v>
      </c>
      <c r="V216" s="23" t="s">
        <v>439</v>
      </c>
      <c r="W216" s="12" t="s">
        <v>439</v>
      </c>
      <c r="X216" s="12" t="s">
        <v>439</v>
      </c>
      <c r="Y216" s="12" t="s">
        <v>439</v>
      </c>
      <c r="Z216" s="12" t="s">
        <v>439</v>
      </c>
      <c r="AA216" s="12" t="s">
        <v>439</v>
      </c>
    </row>
    <row r="217" spans="13:27" x14ac:dyDescent="0.2">
      <c r="M217" s="10" t="s">
        <v>439</v>
      </c>
      <c r="N217" s="10" t="s">
        <v>439</v>
      </c>
      <c r="O217" s="10" t="s">
        <v>439</v>
      </c>
      <c r="P217" s="10" t="s">
        <v>439</v>
      </c>
      <c r="Q217" s="10" t="s">
        <v>439</v>
      </c>
      <c r="R217" s="10" t="s">
        <v>439</v>
      </c>
      <c r="S217" s="10" t="s">
        <v>439</v>
      </c>
      <c r="U217" s="12" t="s">
        <v>439</v>
      </c>
      <c r="V217" s="23" t="s">
        <v>439</v>
      </c>
      <c r="W217" s="12" t="s">
        <v>439</v>
      </c>
      <c r="X217" s="12" t="s">
        <v>439</v>
      </c>
      <c r="Y217" s="12" t="s">
        <v>439</v>
      </c>
      <c r="Z217" s="12" t="s">
        <v>439</v>
      </c>
      <c r="AA217" s="12" t="s">
        <v>439</v>
      </c>
    </row>
    <row r="218" spans="13:27" x14ac:dyDescent="0.2">
      <c r="M218" s="10" t="s">
        <v>439</v>
      </c>
      <c r="N218" s="10" t="s">
        <v>439</v>
      </c>
      <c r="O218" s="10" t="s">
        <v>439</v>
      </c>
      <c r="P218" s="10" t="s">
        <v>439</v>
      </c>
      <c r="Q218" s="10" t="s">
        <v>439</v>
      </c>
      <c r="R218" s="10" t="s">
        <v>439</v>
      </c>
      <c r="S218" s="10" t="s">
        <v>439</v>
      </c>
      <c r="U218" s="12" t="s">
        <v>439</v>
      </c>
      <c r="V218" s="23" t="s">
        <v>439</v>
      </c>
      <c r="W218" s="12" t="s">
        <v>439</v>
      </c>
      <c r="X218" s="12" t="s">
        <v>439</v>
      </c>
      <c r="Y218" s="12" t="s">
        <v>439</v>
      </c>
      <c r="Z218" s="12" t="s">
        <v>439</v>
      </c>
      <c r="AA218" s="12" t="s">
        <v>439</v>
      </c>
    </row>
    <row r="219" spans="13:27" x14ac:dyDescent="0.2">
      <c r="M219" s="10" t="s">
        <v>439</v>
      </c>
      <c r="N219" s="10" t="s">
        <v>439</v>
      </c>
      <c r="O219" s="10" t="s">
        <v>439</v>
      </c>
      <c r="P219" s="10" t="s">
        <v>439</v>
      </c>
      <c r="Q219" s="10" t="s">
        <v>439</v>
      </c>
      <c r="R219" s="10" t="s">
        <v>439</v>
      </c>
      <c r="S219" s="10" t="s">
        <v>439</v>
      </c>
      <c r="U219" s="12" t="s">
        <v>439</v>
      </c>
      <c r="V219" s="23" t="s">
        <v>439</v>
      </c>
      <c r="W219" s="12" t="s">
        <v>439</v>
      </c>
      <c r="X219" s="12" t="s">
        <v>439</v>
      </c>
      <c r="Y219" s="12" t="s">
        <v>439</v>
      </c>
      <c r="Z219" s="12" t="s">
        <v>439</v>
      </c>
      <c r="AA219" s="12" t="s">
        <v>439</v>
      </c>
    </row>
    <row r="220" spans="13:27" x14ac:dyDescent="0.2">
      <c r="M220" s="10" t="s">
        <v>439</v>
      </c>
      <c r="N220" s="10" t="s">
        <v>439</v>
      </c>
      <c r="O220" s="10" t="s">
        <v>439</v>
      </c>
      <c r="P220" s="10" t="s">
        <v>439</v>
      </c>
      <c r="Q220" s="10" t="s">
        <v>439</v>
      </c>
      <c r="R220" s="10" t="s">
        <v>439</v>
      </c>
      <c r="S220" s="10" t="s">
        <v>439</v>
      </c>
      <c r="U220" s="12" t="s">
        <v>439</v>
      </c>
      <c r="V220" s="23" t="s">
        <v>439</v>
      </c>
      <c r="W220" s="12" t="s">
        <v>439</v>
      </c>
      <c r="X220" s="12" t="s">
        <v>439</v>
      </c>
      <c r="Y220" s="12" t="s">
        <v>439</v>
      </c>
      <c r="Z220" s="12" t="s">
        <v>439</v>
      </c>
      <c r="AA220" s="12" t="s">
        <v>439</v>
      </c>
    </row>
    <row r="221" spans="13:27" x14ac:dyDescent="0.2">
      <c r="M221" s="10" t="s">
        <v>439</v>
      </c>
      <c r="N221" s="10" t="s">
        <v>439</v>
      </c>
      <c r="O221" s="10" t="s">
        <v>439</v>
      </c>
      <c r="P221" s="10" t="s">
        <v>439</v>
      </c>
      <c r="Q221" s="10" t="s">
        <v>439</v>
      </c>
      <c r="R221" s="10" t="s">
        <v>439</v>
      </c>
      <c r="S221" s="10" t="s">
        <v>439</v>
      </c>
      <c r="U221" s="12" t="s">
        <v>439</v>
      </c>
      <c r="V221" s="23" t="s">
        <v>439</v>
      </c>
      <c r="W221" s="12" t="s">
        <v>439</v>
      </c>
      <c r="X221" s="12" t="s">
        <v>439</v>
      </c>
      <c r="Y221" s="12" t="s">
        <v>439</v>
      </c>
      <c r="Z221" s="12" t="s">
        <v>439</v>
      </c>
      <c r="AA221" s="12" t="s">
        <v>439</v>
      </c>
    </row>
    <row r="222" spans="13:27" x14ac:dyDescent="0.2">
      <c r="M222" s="10" t="s">
        <v>439</v>
      </c>
      <c r="N222" s="10" t="s">
        <v>439</v>
      </c>
      <c r="O222" s="10" t="s">
        <v>439</v>
      </c>
      <c r="P222" s="10" t="s">
        <v>439</v>
      </c>
      <c r="Q222" s="10" t="s">
        <v>439</v>
      </c>
      <c r="R222" s="10" t="s">
        <v>439</v>
      </c>
      <c r="S222" s="10" t="s">
        <v>439</v>
      </c>
      <c r="U222" s="12" t="s">
        <v>439</v>
      </c>
      <c r="V222" s="23" t="s">
        <v>439</v>
      </c>
      <c r="W222" s="12" t="s">
        <v>439</v>
      </c>
      <c r="X222" s="12" t="s">
        <v>439</v>
      </c>
      <c r="Y222" s="12" t="s">
        <v>439</v>
      </c>
      <c r="Z222" s="12" t="s">
        <v>439</v>
      </c>
      <c r="AA222" s="12" t="s">
        <v>439</v>
      </c>
    </row>
    <row r="223" spans="13:27" x14ac:dyDescent="0.2">
      <c r="M223" s="10" t="s">
        <v>439</v>
      </c>
      <c r="N223" s="10" t="s">
        <v>439</v>
      </c>
      <c r="O223" s="10" t="s">
        <v>439</v>
      </c>
      <c r="P223" s="10" t="s">
        <v>439</v>
      </c>
      <c r="Q223" s="10" t="s">
        <v>439</v>
      </c>
      <c r="R223" s="10" t="s">
        <v>439</v>
      </c>
      <c r="S223" s="10" t="s">
        <v>439</v>
      </c>
      <c r="U223" s="12" t="s">
        <v>439</v>
      </c>
      <c r="V223" s="23" t="s">
        <v>439</v>
      </c>
      <c r="W223" s="12" t="s">
        <v>439</v>
      </c>
      <c r="X223" s="12" t="s">
        <v>439</v>
      </c>
      <c r="Y223" s="12" t="s">
        <v>439</v>
      </c>
      <c r="Z223" s="12" t="s">
        <v>439</v>
      </c>
      <c r="AA223" s="12" t="s">
        <v>439</v>
      </c>
    </row>
    <row r="224" spans="13:27" x14ac:dyDescent="0.2">
      <c r="M224" s="10" t="s">
        <v>439</v>
      </c>
      <c r="N224" s="10" t="s">
        <v>439</v>
      </c>
      <c r="O224" s="10" t="s">
        <v>439</v>
      </c>
      <c r="P224" s="10" t="s">
        <v>439</v>
      </c>
      <c r="Q224" s="10" t="s">
        <v>439</v>
      </c>
      <c r="R224" s="10" t="s">
        <v>439</v>
      </c>
      <c r="S224" s="10" t="s">
        <v>439</v>
      </c>
      <c r="U224" s="12" t="s">
        <v>439</v>
      </c>
      <c r="V224" s="23" t="s">
        <v>439</v>
      </c>
      <c r="W224" s="12" t="s">
        <v>439</v>
      </c>
      <c r="X224" s="12" t="s">
        <v>439</v>
      </c>
      <c r="Y224" s="12" t="s">
        <v>439</v>
      </c>
      <c r="Z224" s="12" t="s">
        <v>439</v>
      </c>
      <c r="AA224" s="12" t="s">
        <v>439</v>
      </c>
    </row>
    <row r="225" spans="13:27" x14ac:dyDescent="0.2">
      <c r="M225" s="10" t="s">
        <v>439</v>
      </c>
      <c r="N225" s="10" t="s">
        <v>439</v>
      </c>
      <c r="O225" s="10" t="s">
        <v>439</v>
      </c>
      <c r="P225" s="10" t="s">
        <v>439</v>
      </c>
      <c r="Q225" s="10" t="s">
        <v>439</v>
      </c>
      <c r="R225" s="10" t="s">
        <v>439</v>
      </c>
      <c r="S225" s="10" t="s">
        <v>439</v>
      </c>
      <c r="U225" s="12" t="s">
        <v>439</v>
      </c>
      <c r="V225" s="23" t="s">
        <v>439</v>
      </c>
      <c r="W225" s="12" t="s">
        <v>439</v>
      </c>
      <c r="X225" s="12" t="s">
        <v>439</v>
      </c>
      <c r="Y225" s="12" t="s">
        <v>439</v>
      </c>
      <c r="Z225" s="12" t="s">
        <v>439</v>
      </c>
      <c r="AA225" s="12" t="s">
        <v>439</v>
      </c>
    </row>
    <row r="226" spans="13:27" x14ac:dyDescent="0.2">
      <c r="M226" s="10" t="s">
        <v>439</v>
      </c>
      <c r="N226" s="10" t="s">
        <v>439</v>
      </c>
      <c r="O226" s="10" t="s">
        <v>439</v>
      </c>
      <c r="P226" s="10" t="s">
        <v>439</v>
      </c>
      <c r="Q226" s="10" t="s">
        <v>439</v>
      </c>
      <c r="R226" s="10" t="s">
        <v>439</v>
      </c>
      <c r="S226" s="10" t="s">
        <v>439</v>
      </c>
      <c r="U226" s="12" t="s">
        <v>439</v>
      </c>
      <c r="V226" s="23" t="s">
        <v>439</v>
      </c>
      <c r="W226" s="12" t="s">
        <v>439</v>
      </c>
      <c r="X226" s="12" t="s">
        <v>439</v>
      </c>
      <c r="Y226" s="12" t="s">
        <v>439</v>
      </c>
      <c r="Z226" s="12" t="s">
        <v>439</v>
      </c>
      <c r="AA226" s="12" t="s">
        <v>439</v>
      </c>
    </row>
    <row r="227" spans="13:27" x14ac:dyDescent="0.2">
      <c r="M227" s="10" t="s">
        <v>439</v>
      </c>
      <c r="N227" s="10" t="s">
        <v>439</v>
      </c>
      <c r="O227" s="10" t="s">
        <v>439</v>
      </c>
      <c r="P227" s="10" t="s">
        <v>439</v>
      </c>
      <c r="Q227" s="10" t="s">
        <v>439</v>
      </c>
      <c r="R227" s="10" t="s">
        <v>439</v>
      </c>
      <c r="S227" s="10" t="s">
        <v>439</v>
      </c>
      <c r="U227" s="12" t="s">
        <v>439</v>
      </c>
      <c r="V227" s="23" t="s">
        <v>439</v>
      </c>
      <c r="W227" s="12" t="s">
        <v>439</v>
      </c>
      <c r="X227" s="12" t="s">
        <v>439</v>
      </c>
      <c r="Y227" s="12" t="s">
        <v>439</v>
      </c>
      <c r="Z227" s="12" t="s">
        <v>439</v>
      </c>
      <c r="AA227" s="12" t="s">
        <v>439</v>
      </c>
    </row>
    <row r="228" spans="13:27" x14ac:dyDescent="0.2">
      <c r="M228" s="10" t="s">
        <v>439</v>
      </c>
      <c r="N228" s="10" t="s">
        <v>439</v>
      </c>
      <c r="O228" s="10" t="s">
        <v>439</v>
      </c>
      <c r="P228" s="10" t="s">
        <v>439</v>
      </c>
      <c r="Q228" s="10" t="s">
        <v>439</v>
      </c>
      <c r="R228" s="10" t="s">
        <v>439</v>
      </c>
      <c r="S228" s="10" t="s">
        <v>439</v>
      </c>
      <c r="U228" s="12" t="s">
        <v>439</v>
      </c>
      <c r="V228" s="23" t="s">
        <v>439</v>
      </c>
      <c r="W228" s="12" t="s">
        <v>439</v>
      </c>
      <c r="X228" s="12" t="s">
        <v>439</v>
      </c>
      <c r="Y228" s="12" t="s">
        <v>439</v>
      </c>
      <c r="Z228" s="12" t="s">
        <v>439</v>
      </c>
      <c r="AA228" s="12" t="s">
        <v>439</v>
      </c>
    </row>
    <row r="229" spans="13:27" x14ac:dyDescent="0.2">
      <c r="M229" s="10" t="s">
        <v>439</v>
      </c>
      <c r="N229" s="10" t="s">
        <v>439</v>
      </c>
      <c r="O229" s="10" t="s">
        <v>439</v>
      </c>
      <c r="P229" s="10" t="s">
        <v>439</v>
      </c>
      <c r="Q229" s="10" t="s">
        <v>439</v>
      </c>
      <c r="R229" s="10" t="s">
        <v>439</v>
      </c>
      <c r="S229" s="10" t="s">
        <v>439</v>
      </c>
      <c r="U229" s="12" t="s">
        <v>439</v>
      </c>
      <c r="V229" s="23" t="s">
        <v>439</v>
      </c>
      <c r="W229" s="12" t="s">
        <v>439</v>
      </c>
      <c r="X229" s="12" t="s">
        <v>439</v>
      </c>
      <c r="Y229" s="12" t="s">
        <v>439</v>
      </c>
      <c r="Z229" s="12" t="s">
        <v>439</v>
      </c>
      <c r="AA229" s="12" t="s">
        <v>439</v>
      </c>
    </row>
    <row r="230" spans="13:27" x14ac:dyDescent="0.2">
      <c r="M230" s="10" t="s">
        <v>439</v>
      </c>
      <c r="N230" s="10" t="s">
        <v>439</v>
      </c>
      <c r="O230" s="10" t="s">
        <v>439</v>
      </c>
      <c r="P230" s="10" t="s">
        <v>439</v>
      </c>
      <c r="Q230" s="10" t="s">
        <v>439</v>
      </c>
      <c r="R230" s="10" t="s">
        <v>439</v>
      </c>
      <c r="S230" s="10" t="s">
        <v>439</v>
      </c>
      <c r="U230" s="12" t="s">
        <v>439</v>
      </c>
      <c r="V230" s="23" t="s">
        <v>439</v>
      </c>
      <c r="W230" s="12" t="s">
        <v>439</v>
      </c>
      <c r="X230" s="12" t="s">
        <v>439</v>
      </c>
      <c r="Y230" s="12" t="s">
        <v>439</v>
      </c>
      <c r="Z230" s="12" t="s">
        <v>439</v>
      </c>
      <c r="AA230" s="12" t="s">
        <v>439</v>
      </c>
    </row>
    <row r="231" spans="13:27" x14ac:dyDescent="0.2">
      <c r="M231" s="10" t="s">
        <v>439</v>
      </c>
      <c r="N231" s="10" t="s">
        <v>439</v>
      </c>
      <c r="O231" s="10" t="s">
        <v>439</v>
      </c>
      <c r="P231" s="10" t="s">
        <v>439</v>
      </c>
      <c r="Q231" s="10" t="s">
        <v>439</v>
      </c>
      <c r="R231" s="10" t="s">
        <v>439</v>
      </c>
      <c r="S231" s="10" t="s">
        <v>439</v>
      </c>
      <c r="U231" s="12" t="s">
        <v>439</v>
      </c>
      <c r="V231" s="23" t="s">
        <v>439</v>
      </c>
      <c r="W231" s="12" t="s">
        <v>439</v>
      </c>
      <c r="X231" s="12" t="s">
        <v>439</v>
      </c>
      <c r="Y231" s="12" t="s">
        <v>439</v>
      </c>
      <c r="Z231" s="12" t="s">
        <v>439</v>
      </c>
      <c r="AA231" s="12" t="s">
        <v>439</v>
      </c>
    </row>
    <row r="232" spans="13:27" x14ac:dyDescent="0.2">
      <c r="M232" s="10" t="s">
        <v>439</v>
      </c>
      <c r="N232" s="10" t="s">
        <v>439</v>
      </c>
      <c r="O232" s="10" t="s">
        <v>439</v>
      </c>
      <c r="P232" s="10" t="s">
        <v>439</v>
      </c>
      <c r="Q232" s="10" t="s">
        <v>439</v>
      </c>
      <c r="R232" s="10" t="s">
        <v>439</v>
      </c>
      <c r="S232" s="10" t="s">
        <v>439</v>
      </c>
      <c r="U232" s="12" t="s">
        <v>439</v>
      </c>
      <c r="V232" s="23" t="s">
        <v>439</v>
      </c>
      <c r="W232" s="12" t="s">
        <v>439</v>
      </c>
      <c r="X232" s="12" t="s">
        <v>439</v>
      </c>
      <c r="Y232" s="12" t="s">
        <v>439</v>
      </c>
      <c r="Z232" s="12" t="s">
        <v>439</v>
      </c>
      <c r="AA232" s="12" t="s">
        <v>439</v>
      </c>
    </row>
    <row r="233" spans="13:27" x14ac:dyDescent="0.2">
      <c r="M233" s="10" t="s">
        <v>439</v>
      </c>
      <c r="N233" s="10" t="s">
        <v>439</v>
      </c>
      <c r="O233" s="10" t="s">
        <v>439</v>
      </c>
      <c r="P233" s="10" t="s">
        <v>439</v>
      </c>
      <c r="Q233" s="10" t="s">
        <v>439</v>
      </c>
      <c r="R233" s="10" t="s">
        <v>439</v>
      </c>
      <c r="S233" s="10" t="s">
        <v>439</v>
      </c>
      <c r="U233" s="12" t="s">
        <v>439</v>
      </c>
      <c r="V233" s="12" t="s">
        <v>439</v>
      </c>
      <c r="W233" s="12" t="s">
        <v>439</v>
      </c>
      <c r="X233" s="12" t="s">
        <v>439</v>
      </c>
      <c r="Y233" s="12" t="s">
        <v>439</v>
      </c>
      <c r="Z233" s="12" t="s">
        <v>439</v>
      </c>
      <c r="AA233" s="12" t="s">
        <v>439</v>
      </c>
    </row>
    <row r="234" spans="13:27" x14ac:dyDescent="0.2">
      <c r="M234" s="10" t="s">
        <v>439</v>
      </c>
      <c r="N234" s="10" t="s">
        <v>439</v>
      </c>
      <c r="O234" s="10" t="s">
        <v>439</v>
      </c>
      <c r="P234" s="10" t="s">
        <v>439</v>
      </c>
      <c r="Q234" s="10" t="s">
        <v>439</v>
      </c>
      <c r="R234" s="10" t="s">
        <v>439</v>
      </c>
      <c r="S234" s="10" t="s">
        <v>439</v>
      </c>
      <c r="U234" s="12" t="s">
        <v>439</v>
      </c>
      <c r="V234" s="12" t="s">
        <v>439</v>
      </c>
      <c r="W234" s="12" t="s">
        <v>439</v>
      </c>
      <c r="X234" s="12" t="s">
        <v>439</v>
      </c>
      <c r="Y234" s="12" t="s">
        <v>439</v>
      </c>
      <c r="Z234" s="12" t="s">
        <v>439</v>
      </c>
      <c r="AA234" s="12" t="s">
        <v>439</v>
      </c>
    </row>
    <row r="235" spans="13:27" x14ac:dyDescent="0.2">
      <c r="M235" s="10" t="s">
        <v>439</v>
      </c>
      <c r="N235" s="10" t="s">
        <v>439</v>
      </c>
      <c r="O235" s="10" t="s">
        <v>439</v>
      </c>
      <c r="P235" s="10" t="s">
        <v>439</v>
      </c>
      <c r="Q235" s="10" t="s">
        <v>439</v>
      </c>
      <c r="R235" s="10" t="s">
        <v>439</v>
      </c>
      <c r="S235" s="10" t="s">
        <v>439</v>
      </c>
      <c r="U235" s="12" t="s">
        <v>439</v>
      </c>
      <c r="V235" s="12" t="s">
        <v>439</v>
      </c>
      <c r="W235" s="12" t="s">
        <v>439</v>
      </c>
      <c r="X235" s="12" t="s">
        <v>439</v>
      </c>
      <c r="Y235" s="12" t="s">
        <v>439</v>
      </c>
      <c r="Z235" s="12" t="s">
        <v>439</v>
      </c>
      <c r="AA235" s="12" t="s">
        <v>439</v>
      </c>
    </row>
    <row r="236" spans="13:27" x14ac:dyDescent="0.2">
      <c r="M236" s="10" t="s">
        <v>439</v>
      </c>
      <c r="N236" s="10" t="s">
        <v>439</v>
      </c>
      <c r="O236" s="10" t="s">
        <v>439</v>
      </c>
      <c r="P236" s="10" t="s">
        <v>439</v>
      </c>
      <c r="Q236" s="10" t="s">
        <v>439</v>
      </c>
      <c r="R236" s="10" t="s">
        <v>439</v>
      </c>
      <c r="S236" s="10" t="s">
        <v>439</v>
      </c>
      <c r="U236" s="12" t="s">
        <v>439</v>
      </c>
      <c r="V236" s="12" t="s">
        <v>439</v>
      </c>
      <c r="W236" s="12" t="s">
        <v>439</v>
      </c>
      <c r="X236" s="12" t="s">
        <v>439</v>
      </c>
      <c r="Y236" s="12" t="s">
        <v>439</v>
      </c>
      <c r="Z236" s="12" t="s">
        <v>439</v>
      </c>
      <c r="AA236" s="12" t="s">
        <v>439</v>
      </c>
    </row>
    <row r="237" spans="13:27" x14ac:dyDescent="0.2">
      <c r="M237" s="10" t="s">
        <v>439</v>
      </c>
      <c r="N237" s="10" t="s">
        <v>439</v>
      </c>
      <c r="O237" s="10" t="s">
        <v>439</v>
      </c>
      <c r="P237" s="10" t="s">
        <v>439</v>
      </c>
      <c r="Q237" s="10" t="s">
        <v>439</v>
      </c>
      <c r="R237" s="10" t="s">
        <v>439</v>
      </c>
      <c r="S237" s="10" t="s">
        <v>439</v>
      </c>
      <c r="U237" s="12" t="s">
        <v>439</v>
      </c>
      <c r="V237" s="12" t="s">
        <v>439</v>
      </c>
      <c r="W237" s="12" t="s">
        <v>439</v>
      </c>
      <c r="X237" s="12" t="s">
        <v>439</v>
      </c>
      <c r="Y237" s="12" t="s">
        <v>439</v>
      </c>
      <c r="Z237" s="12" t="s">
        <v>439</v>
      </c>
      <c r="AA237" s="12" t="s">
        <v>439</v>
      </c>
    </row>
    <row r="238" spans="13:27" x14ac:dyDescent="0.2">
      <c r="M238" s="10" t="s">
        <v>439</v>
      </c>
      <c r="N238" s="10" t="s">
        <v>439</v>
      </c>
      <c r="O238" s="10" t="s">
        <v>439</v>
      </c>
      <c r="P238" s="10" t="s">
        <v>439</v>
      </c>
      <c r="Q238" s="10" t="s">
        <v>439</v>
      </c>
      <c r="R238" s="10" t="s">
        <v>439</v>
      </c>
      <c r="S238" s="10" t="s">
        <v>439</v>
      </c>
      <c r="U238" s="12" t="s">
        <v>439</v>
      </c>
      <c r="V238" s="12" t="s">
        <v>439</v>
      </c>
      <c r="W238" s="12" t="s">
        <v>439</v>
      </c>
      <c r="X238" s="12" t="s">
        <v>439</v>
      </c>
      <c r="Y238" s="12" t="s">
        <v>439</v>
      </c>
      <c r="Z238" s="12" t="s">
        <v>439</v>
      </c>
      <c r="AA238" s="12" t="s">
        <v>439</v>
      </c>
    </row>
    <row r="239" spans="13:27" x14ac:dyDescent="0.2">
      <c r="M239" s="10" t="s">
        <v>439</v>
      </c>
      <c r="N239" s="10" t="s">
        <v>439</v>
      </c>
      <c r="O239" s="10" t="s">
        <v>439</v>
      </c>
      <c r="P239" s="10" t="s">
        <v>439</v>
      </c>
      <c r="Q239" s="10" t="s">
        <v>439</v>
      </c>
      <c r="R239" s="10" t="s">
        <v>439</v>
      </c>
      <c r="S239" s="10" t="s">
        <v>439</v>
      </c>
      <c r="U239" s="12" t="s">
        <v>439</v>
      </c>
      <c r="V239" s="12" t="s">
        <v>439</v>
      </c>
      <c r="W239" s="12" t="s">
        <v>439</v>
      </c>
      <c r="X239" s="12" t="s">
        <v>439</v>
      </c>
      <c r="Y239" s="12" t="s">
        <v>439</v>
      </c>
      <c r="Z239" s="12" t="s">
        <v>439</v>
      </c>
      <c r="AA239" s="12" t="s">
        <v>439</v>
      </c>
    </row>
    <row r="240" spans="13:27" x14ac:dyDescent="0.2">
      <c r="M240" s="10" t="s">
        <v>439</v>
      </c>
      <c r="N240" s="10" t="s">
        <v>439</v>
      </c>
      <c r="O240" s="10" t="s">
        <v>439</v>
      </c>
      <c r="P240" s="10" t="s">
        <v>439</v>
      </c>
      <c r="Q240" s="10" t="s">
        <v>439</v>
      </c>
      <c r="R240" s="10" t="s">
        <v>439</v>
      </c>
      <c r="S240" s="10" t="s">
        <v>439</v>
      </c>
      <c r="U240" s="12" t="s">
        <v>439</v>
      </c>
      <c r="V240" s="12" t="s">
        <v>439</v>
      </c>
      <c r="W240" s="12" t="s">
        <v>439</v>
      </c>
      <c r="X240" s="12" t="s">
        <v>439</v>
      </c>
      <c r="Y240" s="12" t="s">
        <v>439</v>
      </c>
      <c r="Z240" s="12" t="s">
        <v>439</v>
      </c>
      <c r="AA240" s="12" t="s">
        <v>439</v>
      </c>
    </row>
    <row r="241" spans="13:27" x14ac:dyDescent="0.2">
      <c r="M241" s="10" t="s">
        <v>439</v>
      </c>
      <c r="N241" s="10" t="s">
        <v>439</v>
      </c>
      <c r="O241" s="10" t="s">
        <v>439</v>
      </c>
      <c r="P241" s="10" t="s">
        <v>439</v>
      </c>
      <c r="Q241" s="10" t="s">
        <v>439</v>
      </c>
      <c r="R241" s="10" t="s">
        <v>439</v>
      </c>
      <c r="S241" s="10" t="s">
        <v>439</v>
      </c>
      <c r="U241" s="12" t="s">
        <v>439</v>
      </c>
      <c r="V241" s="12" t="s">
        <v>439</v>
      </c>
      <c r="W241" s="12" t="s">
        <v>439</v>
      </c>
      <c r="X241" s="12" t="s">
        <v>439</v>
      </c>
      <c r="Y241" s="12" t="s">
        <v>439</v>
      </c>
      <c r="Z241" s="12" t="s">
        <v>439</v>
      </c>
      <c r="AA241" s="12" t="s">
        <v>439</v>
      </c>
    </row>
    <row r="242" spans="13:27" x14ac:dyDescent="0.2">
      <c r="M242" s="10" t="s">
        <v>439</v>
      </c>
      <c r="N242" s="10" t="s">
        <v>439</v>
      </c>
      <c r="O242" s="10" t="s">
        <v>439</v>
      </c>
      <c r="P242" s="10" t="s">
        <v>439</v>
      </c>
      <c r="Q242" s="10" t="s">
        <v>439</v>
      </c>
      <c r="R242" s="10" t="s">
        <v>439</v>
      </c>
      <c r="S242" s="10" t="s">
        <v>439</v>
      </c>
      <c r="U242" s="12" t="s">
        <v>439</v>
      </c>
      <c r="V242" s="12" t="s">
        <v>439</v>
      </c>
      <c r="W242" s="12" t="s">
        <v>439</v>
      </c>
      <c r="X242" s="12" t="s">
        <v>439</v>
      </c>
      <c r="Y242" s="12" t="s">
        <v>439</v>
      </c>
      <c r="Z242" s="12" t="s">
        <v>439</v>
      </c>
      <c r="AA242" s="12" t="s">
        <v>439</v>
      </c>
    </row>
    <row r="243" spans="13:27" x14ac:dyDescent="0.2">
      <c r="M243" s="10" t="s">
        <v>439</v>
      </c>
      <c r="N243" s="10" t="s">
        <v>439</v>
      </c>
      <c r="O243" s="10" t="s">
        <v>439</v>
      </c>
      <c r="P243" s="10" t="s">
        <v>439</v>
      </c>
      <c r="Q243" s="10" t="s">
        <v>439</v>
      </c>
      <c r="R243" s="10" t="s">
        <v>439</v>
      </c>
      <c r="S243" s="10" t="s">
        <v>439</v>
      </c>
      <c r="U243" s="12" t="s">
        <v>439</v>
      </c>
      <c r="V243" s="12" t="s">
        <v>439</v>
      </c>
      <c r="W243" s="12" t="s">
        <v>439</v>
      </c>
      <c r="X243" s="12" t="s">
        <v>439</v>
      </c>
      <c r="Y243" s="12" t="s">
        <v>439</v>
      </c>
      <c r="Z243" s="12" t="s">
        <v>439</v>
      </c>
      <c r="AA243" s="12" t="s">
        <v>439</v>
      </c>
    </row>
    <row r="244" spans="13:27" x14ac:dyDescent="0.2">
      <c r="M244" s="10" t="s">
        <v>439</v>
      </c>
      <c r="N244" s="10" t="s">
        <v>439</v>
      </c>
      <c r="O244" s="10" t="s">
        <v>439</v>
      </c>
      <c r="P244" s="10" t="s">
        <v>439</v>
      </c>
      <c r="Q244" s="10" t="s">
        <v>439</v>
      </c>
      <c r="R244" s="10" t="s">
        <v>439</v>
      </c>
      <c r="S244" s="10" t="s">
        <v>439</v>
      </c>
      <c r="U244" s="12" t="s">
        <v>439</v>
      </c>
      <c r="V244" s="12" t="s">
        <v>439</v>
      </c>
      <c r="W244" s="12" t="s">
        <v>439</v>
      </c>
      <c r="X244" s="12" t="s">
        <v>439</v>
      </c>
      <c r="Y244" s="12" t="s">
        <v>439</v>
      </c>
      <c r="Z244" s="12" t="s">
        <v>439</v>
      </c>
      <c r="AA244" s="12" t="s">
        <v>439</v>
      </c>
    </row>
    <row r="245" spans="13:27" x14ac:dyDescent="0.2">
      <c r="M245" s="10" t="s">
        <v>439</v>
      </c>
      <c r="N245" s="10" t="s">
        <v>439</v>
      </c>
      <c r="O245" s="10" t="s">
        <v>439</v>
      </c>
      <c r="P245" s="10" t="s">
        <v>439</v>
      </c>
      <c r="Q245" s="10" t="s">
        <v>439</v>
      </c>
      <c r="R245" s="10" t="s">
        <v>439</v>
      </c>
      <c r="S245" s="10" t="s">
        <v>439</v>
      </c>
      <c r="U245" s="12" t="s">
        <v>439</v>
      </c>
      <c r="V245" s="12" t="s">
        <v>439</v>
      </c>
      <c r="W245" s="12" t="s">
        <v>439</v>
      </c>
      <c r="X245" s="12" t="s">
        <v>439</v>
      </c>
      <c r="Y245" s="12" t="s">
        <v>439</v>
      </c>
      <c r="Z245" s="12" t="s">
        <v>439</v>
      </c>
      <c r="AA245" s="12" t="s">
        <v>439</v>
      </c>
    </row>
    <row r="246" spans="13:27" x14ac:dyDescent="0.2">
      <c r="M246" s="10" t="s">
        <v>439</v>
      </c>
      <c r="N246" s="10" t="s">
        <v>439</v>
      </c>
      <c r="O246" s="10" t="s">
        <v>439</v>
      </c>
      <c r="P246" s="10" t="s">
        <v>439</v>
      </c>
      <c r="Q246" s="10" t="s">
        <v>439</v>
      </c>
      <c r="R246" s="10" t="s">
        <v>439</v>
      </c>
      <c r="S246" s="10" t="s">
        <v>439</v>
      </c>
      <c r="U246" s="12" t="s">
        <v>439</v>
      </c>
      <c r="V246" s="12" t="s">
        <v>439</v>
      </c>
      <c r="W246" s="12" t="s">
        <v>439</v>
      </c>
      <c r="X246" s="12" t="s">
        <v>439</v>
      </c>
      <c r="Y246" s="12" t="s">
        <v>439</v>
      </c>
      <c r="Z246" s="12" t="s">
        <v>439</v>
      </c>
      <c r="AA246" s="12" t="s">
        <v>439</v>
      </c>
    </row>
    <row r="247" spans="13:27" x14ac:dyDescent="0.2">
      <c r="M247" s="10" t="s">
        <v>439</v>
      </c>
      <c r="N247" s="10" t="s">
        <v>439</v>
      </c>
      <c r="O247" s="10" t="s">
        <v>439</v>
      </c>
      <c r="P247" s="10" t="s">
        <v>439</v>
      </c>
      <c r="Q247" s="10" t="s">
        <v>439</v>
      </c>
      <c r="R247" s="10" t="s">
        <v>439</v>
      </c>
      <c r="S247" s="10" t="s">
        <v>439</v>
      </c>
      <c r="U247" s="12" t="s">
        <v>439</v>
      </c>
      <c r="V247" s="12" t="s">
        <v>439</v>
      </c>
      <c r="W247" s="12" t="s">
        <v>439</v>
      </c>
      <c r="X247" s="12" t="s">
        <v>439</v>
      </c>
      <c r="Y247" s="12" t="s">
        <v>439</v>
      </c>
      <c r="Z247" s="12" t="s">
        <v>439</v>
      </c>
      <c r="AA247" s="12" t="s">
        <v>439</v>
      </c>
    </row>
    <row r="248" spans="13:27" x14ac:dyDescent="0.2">
      <c r="M248" s="10" t="s">
        <v>439</v>
      </c>
      <c r="N248" s="10" t="s">
        <v>439</v>
      </c>
      <c r="O248" s="10" t="s">
        <v>439</v>
      </c>
      <c r="P248" s="10" t="s">
        <v>439</v>
      </c>
      <c r="Q248" s="10" t="s">
        <v>439</v>
      </c>
      <c r="R248" s="10" t="s">
        <v>439</v>
      </c>
      <c r="S248" s="10" t="s">
        <v>439</v>
      </c>
      <c r="U248" s="12" t="s">
        <v>439</v>
      </c>
      <c r="V248" s="12" t="s">
        <v>439</v>
      </c>
      <c r="W248" s="12" t="s">
        <v>439</v>
      </c>
      <c r="X248" s="12" t="s">
        <v>439</v>
      </c>
      <c r="Y248" s="12" t="s">
        <v>439</v>
      </c>
      <c r="Z248" s="12" t="s">
        <v>439</v>
      </c>
      <c r="AA248" s="12" t="s">
        <v>439</v>
      </c>
    </row>
    <row r="249" spans="13:27" x14ac:dyDescent="0.2">
      <c r="M249" s="10" t="s">
        <v>439</v>
      </c>
      <c r="N249" s="10" t="s">
        <v>439</v>
      </c>
      <c r="O249" s="10" t="s">
        <v>439</v>
      </c>
      <c r="P249" s="10" t="s">
        <v>439</v>
      </c>
      <c r="Q249" s="10" t="s">
        <v>439</v>
      </c>
      <c r="R249" s="10" t="s">
        <v>439</v>
      </c>
      <c r="S249" s="10" t="s">
        <v>439</v>
      </c>
      <c r="U249" s="12" t="s">
        <v>439</v>
      </c>
      <c r="V249" s="12" t="s">
        <v>439</v>
      </c>
      <c r="W249" s="12" t="s">
        <v>439</v>
      </c>
      <c r="X249" s="12" t="s">
        <v>439</v>
      </c>
      <c r="Y249" s="12" t="s">
        <v>439</v>
      </c>
      <c r="Z249" s="12" t="s">
        <v>439</v>
      </c>
      <c r="AA249" s="12" t="s">
        <v>439</v>
      </c>
    </row>
    <row r="250" spans="13:27" x14ac:dyDescent="0.2">
      <c r="M250" s="10" t="s">
        <v>439</v>
      </c>
      <c r="N250" s="10" t="s">
        <v>439</v>
      </c>
      <c r="O250" s="10" t="s">
        <v>439</v>
      </c>
      <c r="P250" s="10" t="s">
        <v>439</v>
      </c>
      <c r="Q250" s="10" t="s">
        <v>439</v>
      </c>
      <c r="R250" s="10" t="s">
        <v>439</v>
      </c>
      <c r="S250" s="10" t="s">
        <v>439</v>
      </c>
      <c r="U250" s="12" t="s">
        <v>439</v>
      </c>
      <c r="V250" s="12" t="s">
        <v>439</v>
      </c>
      <c r="W250" s="12" t="s">
        <v>439</v>
      </c>
      <c r="X250" s="12" t="s">
        <v>439</v>
      </c>
      <c r="Y250" s="12" t="s">
        <v>439</v>
      </c>
      <c r="Z250" s="12" t="s">
        <v>439</v>
      </c>
      <c r="AA250" s="12" t="s">
        <v>439</v>
      </c>
    </row>
    <row r="251" spans="13:27" x14ac:dyDescent="0.2">
      <c r="M251" s="10" t="s">
        <v>439</v>
      </c>
      <c r="N251" s="10" t="s">
        <v>439</v>
      </c>
      <c r="O251" s="10" t="s">
        <v>439</v>
      </c>
      <c r="P251" s="10" t="s">
        <v>439</v>
      </c>
      <c r="Q251" s="10" t="s">
        <v>439</v>
      </c>
      <c r="R251" s="10" t="s">
        <v>439</v>
      </c>
      <c r="S251" s="10" t="s">
        <v>439</v>
      </c>
      <c r="U251" s="12" t="s">
        <v>439</v>
      </c>
      <c r="V251" s="12" t="s">
        <v>439</v>
      </c>
      <c r="W251" s="12" t="s">
        <v>439</v>
      </c>
      <c r="X251" s="12" t="s">
        <v>439</v>
      </c>
      <c r="Y251" s="12" t="s">
        <v>439</v>
      </c>
      <c r="Z251" s="12" t="s">
        <v>439</v>
      </c>
      <c r="AA251" s="12" t="s">
        <v>439</v>
      </c>
    </row>
    <row r="252" spans="13:27" x14ac:dyDescent="0.2">
      <c r="M252" s="10" t="s">
        <v>439</v>
      </c>
      <c r="N252" s="10" t="s">
        <v>439</v>
      </c>
      <c r="O252" s="10" t="s">
        <v>439</v>
      </c>
      <c r="P252" s="10" t="s">
        <v>439</v>
      </c>
      <c r="Q252" s="10" t="s">
        <v>439</v>
      </c>
      <c r="R252" s="10" t="s">
        <v>439</v>
      </c>
      <c r="S252" s="10" t="s">
        <v>439</v>
      </c>
      <c r="U252" s="12" t="s">
        <v>439</v>
      </c>
      <c r="V252" s="12" t="s">
        <v>439</v>
      </c>
      <c r="W252" s="12" t="s">
        <v>439</v>
      </c>
      <c r="X252" s="12" t="s">
        <v>439</v>
      </c>
      <c r="Y252" s="12" t="s">
        <v>439</v>
      </c>
      <c r="Z252" s="12" t="s">
        <v>439</v>
      </c>
      <c r="AA252" s="12" t="s">
        <v>439</v>
      </c>
    </row>
    <row r="253" spans="13:27" x14ac:dyDescent="0.2">
      <c r="M253" s="10" t="s">
        <v>439</v>
      </c>
      <c r="N253" s="10" t="s">
        <v>439</v>
      </c>
      <c r="O253" s="10" t="s">
        <v>439</v>
      </c>
      <c r="P253" s="10" t="s">
        <v>439</v>
      </c>
      <c r="Q253" s="10" t="s">
        <v>439</v>
      </c>
      <c r="R253" s="10" t="s">
        <v>439</v>
      </c>
      <c r="S253" s="10" t="s">
        <v>439</v>
      </c>
      <c r="U253" s="12" t="s">
        <v>439</v>
      </c>
      <c r="V253" s="12" t="s">
        <v>439</v>
      </c>
      <c r="W253" s="12" t="s">
        <v>439</v>
      </c>
      <c r="X253" s="12" t="s">
        <v>439</v>
      </c>
      <c r="Y253" s="12" t="s">
        <v>439</v>
      </c>
      <c r="Z253" s="12" t="s">
        <v>439</v>
      </c>
      <c r="AA253" s="12" t="s">
        <v>439</v>
      </c>
    </row>
    <row r="254" spans="13:27" x14ac:dyDescent="0.2">
      <c r="M254" s="10" t="s">
        <v>439</v>
      </c>
      <c r="N254" s="10" t="s">
        <v>439</v>
      </c>
      <c r="O254" s="10" t="s">
        <v>439</v>
      </c>
      <c r="P254" s="10" t="s">
        <v>439</v>
      </c>
      <c r="Q254" s="10" t="s">
        <v>439</v>
      </c>
      <c r="R254" s="10" t="s">
        <v>439</v>
      </c>
      <c r="S254" s="10" t="s">
        <v>439</v>
      </c>
      <c r="U254" s="12" t="s">
        <v>439</v>
      </c>
      <c r="V254" s="12" t="s">
        <v>439</v>
      </c>
      <c r="W254" s="12" t="s">
        <v>439</v>
      </c>
      <c r="X254" s="12" t="s">
        <v>439</v>
      </c>
      <c r="Y254" s="12" t="s">
        <v>439</v>
      </c>
      <c r="Z254" s="12" t="s">
        <v>439</v>
      </c>
      <c r="AA254" s="12" t="s">
        <v>439</v>
      </c>
    </row>
    <row r="255" spans="13:27" x14ac:dyDescent="0.2">
      <c r="M255" s="10" t="s">
        <v>439</v>
      </c>
      <c r="N255" s="10" t="s">
        <v>439</v>
      </c>
      <c r="O255" s="10" t="s">
        <v>439</v>
      </c>
      <c r="P255" s="10" t="s">
        <v>439</v>
      </c>
      <c r="Q255" s="10" t="s">
        <v>439</v>
      </c>
      <c r="R255" s="10" t="s">
        <v>439</v>
      </c>
      <c r="S255" s="10" t="s">
        <v>439</v>
      </c>
      <c r="U255" s="12" t="s">
        <v>439</v>
      </c>
      <c r="V255" s="12" t="s">
        <v>439</v>
      </c>
      <c r="W255" s="12" t="s">
        <v>439</v>
      </c>
      <c r="X255" s="12" t="s">
        <v>439</v>
      </c>
      <c r="Y255" s="12" t="s">
        <v>439</v>
      </c>
      <c r="Z255" s="12" t="s">
        <v>439</v>
      </c>
      <c r="AA255" s="12" t="s">
        <v>439</v>
      </c>
    </row>
    <row r="256" spans="13:27" x14ac:dyDescent="0.2">
      <c r="M256" s="10" t="s">
        <v>439</v>
      </c>
      <c r="N256" s="10" t="s">
        <v>439</v>
      </c>
      <c r="O256" s="10" t="s">
        <v>439</v>
      </c>
      <c r="P256" s="10" t="s">
        <v>439</v>
      </c>
      <c r="Q256" s="10" t="s">
        <v>439</v>
      </c>
      <c r="R256" s="10" t="s">
        <v>439</v>
      </c>
      <c r="S256" s="10" t="s">
        <v>439</v>
      </c>
      <c r="U256" s="12" t="s">
        <v>439</v>
      </c>
      <c r="V256" s="12" t="s">
        <v>439</v>
      </c>
      <c r="W256" s="12" t="s">
        <v>439</v>
      </c>
      <c r="X256" s="12" t="s">
        <v>439</v>
      </c>
      <c r="Y256" s="12" t="s">
        <v>439</v>
      </c>
      <c r="Z256" s="12" t="s">
        <v>439</v>
      </c>
      <c r="AA256" s="12" t="s">
        <v>439</v>
      </c>
    </row>
    <row r="257" spans="13:27" x14ac:dyDescent="0.2">
      <c r="M257" s="10" t="s">
        <v>439</v>
      </c>
      <c r="N257" s="10" t="s">
        <v>439</v>
      </c>
      <c r="O257" s="10" t="s">
        <v>439</v>
      </c>
      <c r="P257" s="10" t="s">
        <v>439</v>
      </c>
      <c r="Q257" s="10" t="s">
        <v>439</v>
      </c>
      <c r="R257" s="10" t="s">
        <v>439</v>
      </c>
      <c r="S257" s="10" t="s">
        <v>439</v>
      </c>
      <c r="U257" s="12" t="s">
        <v>439</v>
      </c>
      <c r="V257" s="12" t="s">
        <v>439</v>
      </c>
      <c r="W257" s="12" t="s">
        <v>439</v>
      </c>
      <c r="X257" s="12" t="s">
        <v>439</v>
      </c>
      <c r="Y257" s="12" t="s">
        <v>439</v>
      </c>
      <c r="Z257" s="12" t="s">
        <v>439</v>
      </c>
      <c r="AA257" s="12" t="s">
        <v>439</v>
      </c>
    </row>
    <row r="258" spans="13:27" x14ac:dyDescent="0.2">
      <c r="M258" s="10" t="s">
        <v>439</v>
      </c>
      <c r="N258" s="10" t="s">
        <v>439</v>
      </c>
      <c r="O258" s="10" t="s">
        <v>439</v>
      </c>
      <c r="P258" s="10" t="s">
        <v>439</v>
      </c>
      <c r="Q258" s="10" t="s">
        <v>439</v>
      </c>
      <c r="R258" s="10" t="s">
        <v>439</v>
      </c>
      <c r="S258" s="10" t="s">
        <v>439</v>
      </c>
      <c r="U258" s="12" t="s">
        <v>439</v>
      </c>
      <c r="V258" s="12" t="s">
        <v>439</v>
      </c>
      <c r="W258" s="12" t="s">
        <v>439</v>
      </c>
      <c r="X258" s="12" t="s">
        <v>439</v>
      </c>
      <c r="Y258" s="12" t="s">
        <v>439</v>
      </c>
      <c r="Z258" s="12" t="s">
        <v>439</v>
      </c>
      <c r="AA258" s="12" t="s">
        <v>439</v>
      </c>
    </row>
    <row r="259" spans="13:27" x14ac:dyDescent="0.2">
      <c r="M259" s="10" t="s">
        <v>439</v>
      </c>
      <c r="N259" s="10" t="s">
        <v>439</v>
      </c>
      <c r="O259" s="10" t="s">
        <v>439</v>
      </c>
      <c r="P259" s="10" t="s">
        <v>439</v>
      </c>
      <c r="Q259" s="10" t="s">
        <v>439</v>
      </c>
      <c r="R259" s="10" t="s">
        <v>439</v>
      </c>
      <c r="S259" s="10" t="s">
        <v>439</v>
      </c>
      <c r="U259" s="12" t="s">
        <v>439</v>
      </c>
      <c r="V259" s="12" t="s">
        <v>439</v>
      </c>
      <c r="W259" s="12" t="s">
        <v>439</v>
      </c>
      <c r="X259" s="12" t="s">
        <v>439</v>
      </c>
      <c r="Y259" s="12" t="s">
        <v>439</v>
      </c>
      <c r="Z259" s="12" t="s">
        <v>439</v>
      </c>
      <c r="AA259" s="12" t="s">
        <v>439</v>
      </c>
    </row>
    <row r="260" spans="13:27" x14ac:dyDescent="0.2">
      <c r="M260" s="10" t="s">
        <v>439</v>
      </c>
      <c r="N260" s="10" t="s">
        <v>439</v>
      </c>
      <c r="O260" s="10" t="s">
        <v>439</v>
      </c>
      <c r="P260" s="10" t="s">
        <v>439</v>
      </c>
      <c r="Q260" s="10" t="s">
        <v>439</v>
      </c>
      <c r="R260" s="10" t="s">
        <v>439</v>
      </c>
      <c r="S260" s="10" t="s">
        <v>439</v>
      </c>
      <c r="U260" s="12" t="s">
        <v>439</v>
      </c>
      <c r="V260" s="12" t="s">
        <v>439</v>
      </c>
      <c r="W260" s="12" t="s">
        <v>439</v>
      </c>
      <c r="X260" s="12" t="s">
        <v>439</v>
      </c>
      <c r="Y260" s="12" t="s">
        <v>439</v>
      </c>
      <c r="Z260" s="12" t="s">
        <v>439</v>
      </c>
      <c r="AA260" s="12" t="s">
        <v>439</v>
      </c>
    </row>
    <row r="261" spans="13:27" x14ac:dyDescent="0.2">
      <c r="M261" s="10" t="s">
        <v>439</v>
      </c>
      <c r="N261" s="10" t="s">
        <v>439</v>
      </c>
      <c r="O261" s="10" t="s">
        <v>439</v>
      </c>
      <c r="P261" s="10" t="s">
        <v>439</v>
      </c>
      <c r="Q261" s="10" t="s">
        <v>439</v>
      </c>
      <c r="R261" s="10" t="s">
        <v>439</v>
      </c>
      <c r="S261" s="10" t="s">
        <v>439</v>
      </c>
      <c r="U261" s="12" t="s">
        <v>439</v>
      </c>
      <c r="V261" s="12" t="s">
        <v>439</v>
      </c>
      <c r="W261" s="12" t="s">
        <v>439</v>
      </c>
      <c r="X261" s="12" t="s">
        <v>439</v>
      </c>
      <c r="Y261" s="12" t="s">
        <v>439</v>
      </c>
      <c r="Z261" s="12" t="s">
        <v>439</v>
      </c>
      <c r="AA261" s="12" t="s">
        <v>439</v>
      </c>
    </row>
    <row r="262" spans="13:27" x14ac:dyDescent="0.2">
      <c r="M262" s="10" t="s">
        <v>439</v>
      </c>
      <c r="N262" s="10" t="s">
        <v>439</v>
      </c>
      <c r="O262" s="10" t="s">
        <v>439</v>
      </c>
      <c r="P262" s="10" t="s">
        <v>439</v>
      </c>
      <c r="Q262" s="10" t="s">
        <v>439</v>
      </c>
      <c r="R262" s="10" t="s">
        <v>439</v>
      </c>
      <c r="S262" s="10" t="s">
        <v>439</v>
      </c>
      <c r="U262" s="12" t="s">
        <v>439</v>
      </c>
      <c r="V262" s="12" t="s">
        <v>439</v>
      </c>
      <c r="W262" s="12" t="s">
        <v>439</v>
      </c>
      <c r="X262" s="12" t="s">
        <v>439</v>
      </c>
      <c r="Y262" s="12" t="s">
        <v>439</v>
      </c>
      <c r="Z262" s="12" t="s">
        <v>439</v>
      </c>
      <c r="AA262" s="12" t="s">
        <v>439</v>
      </c>
    </row>
    <row r="263" spans="13:27" x14ac:dyDescent="0.2">
      <c r="M263" s="10" t="s">
        <v>439</v>
      </c>
      <c r="N263" s="10" t="s">
        <v>439</v>
      </c>
      <c r="O263" s="10" t="s">
        <v>439</v>
      </c>
      <c r="P263" s="10" t="s">
        <v>439</v>
      </c>
      <c r="Q263" s="10" t="s">
        <v>439</v>
      </c>
      <c r="R263" s="10" t="s">
        <v>439</v>
      </c>
      <c r="S263" s="10" t="s">
        <v>439</v>
      </c>
      <c r="U263" s="12" t="s">
        <v>439</v>
      </c>
      <c r="V263" s="12" t="s">
        <v>439</v>
      </c>
      <c r="W263" s="12" t="s">
        <v>439</v>
      </c>
      <c r="X263" s="12" t="s">
        <v>439</v>
      </c>
      <c r="Y263" s="12" t="s">
        <v>439</v>
      </c>
      <c r="Z263" s="12" t="s">
        <v>439</v>
      </c>
      <c r="AA263" s="12" t="s">
        <v>439</v>
      </c>
    </row>
    <row r="264" spans="13:27" x14ac:dyDescent="0.2">
      <c r="M264" s="10" t="s">
        <v>439</v>
      </c>
      <c r="N264" s="10" t="s">
        <v>439</v>
      </c>
      <c r="O264" s="10" t="s">
        <v>439</v>
      </c>
      <c r="P264" s="10" t="s">
        <v>439</v>
      </c>
      <c r="Q264" s="10" t="s">
        <v>439</v>
      </c>
      <c r="R264" s="10" t="s">
        <v>439</v>
      </c>
      <c r="S264" s="10" t="s">
        <v>439</v>
      </c>
      <c r="U264" s="12" t="s">
        <v>439</v>
      </c>
      <c r="V264" s="12" t="s">
        <v>439</v>
      </c>
      <c r="W264" s="12" t="s">
        <v>439</v>
      </c>
      <c r="X264" s="12" t="s">
        <v>439</v>
      </c>
      <c r="Y264" s="12" t="s">
        <v>439</v>
      </c>
      <c r="Z264" s="12" t="s">
        <v>439</v>
      </c>
      <c r="AA264" s="12" t="s">
        <v>439</v>
      </c>
    </row>
    <row r="265" spans="13:27" x14ac:dyDescent="0.2">
      <c r="M265" s="10" t="s">
        <v>439</v>
      </c>
      <c r="N265" s="10" t="s">
        <v>439</v>
      </c>
      <c r="O265" s="10" t="s">
        <v>439</v>
      </c>
      <c r="P265" s="10" t="s">
        <v>439</v>
      </c>
      <c r="Q265" s="10" t="s">
        <v>439</v>
      </c>
      <c r="R265" s="10" t="s">
        <v>439</v>
      </c>
      <c r="S265" s="10" t="s">
        <v>439</v>
      </c>
      <c r="U265" s="12" t="s">
        <v>439</v>
      </c>
      <c r="V265" s="12" t="s">
        <v>439</v>
      </c>
      <c r="W265" s="12" t="s">
        <v>439</v>
      </c>
      <c r="X265" s="12" t="s">
        <v>439</v>
      </c>
      <c r="Y265" s="12" t="s">
        <v>439</v>
      </c>
      <c r="Z265" s="12" t="s">
        <v>439</v>
      </c>
      <c r="AA265" s="12" t="s">
        <v>439</v>
      </c>
    </row>
    <row r="266" spans="13:27" x14ac:dyDescent="0.2">
      <c r="M266" s="10" t="s">
        <v>439</v>
      </c>
      <c r="N266" s="10" t="s">
        <v>439</v>
      </c>
      <c r="O266" s="10" t="s">
        <v>439</v>
      </c>
      <c r="P266" s="10" t="s">
        <v>439</v>
      </c>
      <c r="Q266" s="10" t="s">
        <v>439</v>
      </c>
      <c r="R266" s="10" t="s">
        <v>439</v>
      </c>
      <c r="S266" s="10" t="s">
        <v>439</v>
      </c>
      <c r="U266" s="12" t="s">
        <v>439</v>
      </c>
      <c r="V266" s="12" t="s">
        <v>439</v>
      </c>
      <c r="W266" s="12" t="s">
        <v>439</v>
      </c>
      <c r="X266" s="12" t="s">
        <v>439</v>
      </c>
      <c r="Y266" s="12" t="s">
        <v>439</v>
      </c>
      <c r="Z266" s="12" t="s">
        <v>439</v>
      </c>
      <c r="AA266" s="12" t="s">
        <v>439</v>
      </c>
    </row>
    <row r="267" spans="13:27" x14ac:dyDescent="0.2">
      <c r="M267" s="10" t="s">
        <v>439</v>
      </c>
      <c r="N267" s="10" t="s">
        <v>439</v>
      </c>
      <c r="O267" s="10" t="s">
        <v>439</v>
      </c>
      <c r="P267" s="10" t="s">
        <v>439</v>
      </c>
      <c r="Q267" s="10" t="s">
        <v>439</v>
      </c>
      <c r="R267" s="10" t="s">
        <v>439</v>
      </c>
      <c r="S267" s="10" t="s">
        <v>439</v>
      </c>
      <c r="U267" s="12" t="s">
        <v>439</v>
      </c>
      <c r="V267" s="12" t="s">
        <v>439</v>
      </c>
      <c r="W267" s="12" t="s">
        <v>439</v>
      </c>
      <c r="X267" s="12" t="s">
        <v>439</v>
      </c>
      <c r="Y267" s="12" t="s">
        <v>439</v>
      </c>
      <c r="Z267" s="12" t="s">
        <v>439</v>
      </c>
      <c r="AA267" s="12" t="s">
        <v>439</v>
      </c>
    </row>
    <row r="268" spans="13:27" x14ac:dyDescent="0.2">
      <c r="M268" s="10" t="s">
        <v>439</v>
      </c>
      <c r="N268" s="10" t="s">
        <v>439</v>
      </c>
      <c r="O268" s="10" t="s">
        <v>439</v>
      </c>
      <c r="P268" s="10" t="s">
        <v>439</v>
      </c>
      <c r="Q268" s="10" t="s">
        <v>439</v>
      </c>
      <c r="R268" s="10" t="s">
        <v>439</v>
      </c>
      <c r="S268" s="10" t="s">
        <v>439</v>
      </c>
      <c r="U268" s="12" t="s">
        <v>439</v>
      </c>
      <c r="V268" s="12" t="s">
        <v>439</v>
      </c>
      <c r="W268" s="12" t="s">
        <v>439</v>
      </c>
      <c r="X268" s="12" t="s">
        <v>439</v>
      </c>
      <c r="Y268" s="12" t="s">
        <v>439</v>
      </c>
      <c r="Z268" s="12" t="s">
        <v>439</v>
      </c>
      <c r="AA268" s="12" t="s">
        <v>439</v>
      </c>
    </row>
    <row r="269" spans="13:27" x14ac:dyDescent="0.2">
      <c r="M269" s="10" t="s">
        <v>439</v>
      </c>
      <c r="N269" s="10" t="s">
        <v>439</v>
      </c>
      <c r="O269" s="10" t="s">
        <v>439</v>
      </c>
      <c r="P269" s="10" t="s">
        <v>439</v>
      </c>
      <c r="Q269" s="10" t="s">
        <v>439</v>
      </c>
      <c r="R269" s="10" t="s">
        <v>439</v>
      </c>
      <c r="S269" s="10" t="s">
        <v>439</v>
      </c>
      <c r="U269" s="12" t="s">
        <v>439</v>
      </c>
      <c r="V269" s="12" t="s">
        <v>439</v>
      </c>
      <c r="W269" s="12" t="s">
        <v>439</v>
      </c>
      <c r="X269" s="12" t="s">
        <v>439</v>
      </c>
      <c r="Y269" s="12" t="s">
        <v>439</v>
      </c>
      <c r="Z269" s="12" t="s">
        <v>439</v>
      </c>
      <c r="AA269" s="12" t="s">
        <v>439</v>
      </c>
    </row>
    <row r="270" spans="13:27" x14ac:dyDescent="0.2">
      <c r="M270" s="10" t="s">
        <v>439</v>
      </c>
      <c r="N270" s="10" t="s">
        <v>439</v>
      </c>
      <c r="O270" s="10" t="s">
        <v>439</v>
      </c>
      <c r="P270" s="10" t="s">
        <v>439</v>
      </c>
      <c r="Q270" s="10" t="s">
        <v>439</v>
      </c>
      <c r="R270" s="10" t="s">
        <v>439</v>
      </c>
      <c r="S270" s="10" t="s">
        <v>439</v>
      </c>
      <c r="U270" s="12" t="s">
        <v>439</v>
      </c>
      <c r="V270" s="12" t="s">
        <v>439</v>
      </c>
      <c r="W270" s="12" t="s">
        <v>439</v>
      </c>
      <c r="X270" s="12" t="s">
        <v>439</v>
      </c>
      <c r="Y270" s="12" t="s">
        <v>439</v>
      </c>
      <c r="Z270" s="12" t="s">
        <v>439</v>
      </c>
      <c r="AA270" s="12" t="s">
        <v>439</v>
      </c>
    </row>
    <row r="271" spans="13:27" x14ac:dyDescent="0.2">
      <c r="M271" s="10" t="s">
        <v>439</v>
      </c>
      <c r="N271" s="10" t="s">
        <v>439</v>
      </c>
      <c r="O271" s="10" t="s">
        <v>439</v>
      </c>
      <c r="P271" s="10" t="s">
        <v>439</v>
      </c>
      <c r="Q271" s="10" t="s">
        <v>439</v>
      </c>
      <c r="R271" s="10" t="s">
        <v>439</v>
      </c>
      <c r="S271" s="10" t="s">
        <v>439</v>
      </c>
      <c r="U271" s="12" t="s">
        <v>439</v>
      </c>
      <c r="V271" s="12" t="s">
        <v>439</v>
      </c>
      <c r="W271" s="12" t="s">
        <v>439</v>
      </c>
      <c r="X271" s="12" t="s">
        <v>439</v>
      </c>
      <c r="Y271" s="12" t="s">
        <v>439</v>
      </c>
      <c r="Z271" s="12" t="s">
        <v>439</v>
      </c>
      <c r="AA271" s="12" t="s">
        <v>439</v>
      </c>
    </row>
    <row r="272" spans="13:27" x14ac:dyDescent="0.2">
      <c r="M272" s="10" t="s">
        <v>439</v>
      </c>
      <c r="N272" s="10" t="s">
        <v>439</v>
      </c>
      <c r="O272" s="10" t="s">
        <v>439</v>
      </c>
      <c r="P272" s="10" t="s">
        <v>439</v>
      </c>
      <c r="Q272" s="10" t="s">
        <v>439</v>
      </c>
      <c r="R272" s="10" t="s">
        <v>439</v>
      </c>
      <c r="S272" s="10" t="s">
        <v>439</v>
      </c>
      <c r="U272" s="12" t="s">
        <v>439</v>
      </c>
      <c r="V272" s="12" t="s">
        <v>439</v>
      </c>
      <c r="W272" s="12" t="s">
        <v>439</v>
      </c>
      <c r="X272" s="12" t="s">
        <v>439</v>
      </c>
      <c r="Y272" s="12" t="s">
        <v>439</v>
      </c>
      <c r="Z272" s="12" t="s">
        <v>439</v>
      </c>
      <c r="AA272" s="12" t="s">
        <v>439</v>
      </c>
    </row>
    <row r="273" spans="13:27" x14ac:dyDescent="0.2">
      <c r="M273" s="10" t="s">
        <v>439</v>
      </c>
      <c r="N273" s="10" t="s">
        <v>439</v>
      </c>
      <c r="O273" s="10" t="s">
        <v>439</v>
      </c>
      <c r="P273" s="10" t="s">
        <v>439</v>
      </c>
      <c r="Q273" s="10" t="s">
        <v>439</v>
      </c>
      <c r="R273" s="10" t="s">
        <v>439</v>
      </c>
      <c r="S273" s="10" t="s">
        <v>439</v>
      </c>
      <c r="U273" s="12" t="s">
        <v>439</v>
      </c>
      <c r="V273" s="12" t="s">
        <v>439</v>
      </c>
      <c r="W273" s="12" t="s">
        <v>439</v>
      </c>
      <c r="X273" s="12" t="s">
        <v>439</v>
      </c>
      <c r="Y273" s="12" t="s">
        <v>439</v>
      </c>
      <c r="Z273" s="12" t="s">
        <v>439</v>
      </c>
      <c r="AA273" s="12" t="s">
        <v>439</v>
      </c>
    </row>
    <row r="274" spans="13:27" x14ac:dyDescent="0.2">
      <c r="M274" s="10" t="s">
        <v>439</v>
      </c>
      <c r="N274" s="10" t="s">
        <v>439</v>
      </c>
      <c r="O274" s="10" t="s">
        <v>439</v>
      </c>
      <c r="P274" s="10" t="s">
        <v>439</v>
      </c>
      <c r="Q274" s="10" t="s">
        <v>439</v>
      </c>
      <c r="R274" s="10" t="s">
        <v>439</v>
      </c>
      <c r="S274" s="10" t="s">
        <v>439</v>
      </c>
      <c r="U274" s="12" t="s">
        <v>439</v>
      </c>
      <c r="V274" s="12" t="s">
        <v>439</v>
      </c>
      <c r="W274" s="12" t="s">
        <v>439</v>
      </c>
      <c r="X274" s="12" t="s">
        <v>439</v>
      </c>
      <c r="Y274" s="12" t="s">
        <v>439</v>
      </c>
      <c r="Z274" s="12" t="s">
        <v>439</v>
      </c>
      <c r="AA274" s="12" t="s">
        <v>439</v>
      </c>
    </row>
    <row r="275" spans="13:27" x14ac:dyDescent="0.2">
      <c r="M275" s="10" t="s">
        <v>439</v>
      </c>
      <c r="N275" s="10" t="s">
        <v>439</v>
      </c>
      <c r="O275" s="10" t="s">
        <v>439</v>
      </c>
      <c r="P275" s="10" t="s">
        <v>439</v>
      </c>
      <c r="Q275" s="10" t="s">
        <v>439</v>
      </c>
      <c r="R275" s="10" t="s">
        <v>439</v>
      </c>
      <c r="S275" s="10" t="s">
        <v>439</v>
      </c>
      <c r="U275" s="12" t="s">
        <v>439</v>
      </c>
      <c r="V275" s="12" t="s">
        <v>439</v>
      </c>
      <c r="W275" s="12" t="s">
        <v>439</v>
      </c>
      <c r="X275" s="12" t="s">
        <v>439</v>
      </c>
      <c r="Y275" s="12" t="s">
        <v>439</v>
      </c>
      <c r="Z275" s="12" t="s">
        <v>439</v>
      </c>
      <c r="AA275" s="12" t="s">
        <v>439</v>
      </c>
    </row>
    <row r="276" spans="13:27" x14ac:dyDescent="0.2">
      <c r="M276" s="10" t="s">
        <v>439</v>
      </c>
      <c r="N276" s="10" t="s">
        <v>439</v>
      </c>
      <c r="O276" s="10" t="s">
        <v>439</v>
      </c>
      <c r="P276" s="10" t="s">
        <v>439</v>
      </c>
      <c r="Q276" s="10" t="s">
        <v>439</v>
      </c>
      <c r="R276" s="10" t="s">
        <v>439</v>
      </c>
      <c r="S276" s="10" t="s">
        <v>439</v>
      </c>
      <c r="U276" s="12" t="s">
        <v>439</v>
      </c>
      <c r="V276" s="12" t="s">
        <v>439</v>
      </c>
      <c r="W276" s="12" t="s">
        <v>439</v>
      </c>
      <c r="X276" s="12" t="s">
        <v>439</v>
      </c>
      <c r="Y276" s="12" t="s">
        <v>439</v>
      </c>
      <c r="Z276" s="12" t="s">
        <v>439</v>
      </c>
      <c r="AA276" s="12" t="s">
        <v>439</v>
      </c>
    </row>
    <row r="277" spans="13:27" x14ac:dyDescent="0.2">
      <c r="M277" s="10" t="s">
        <v>439</v>
      </c>
      <c r="N277" s="10" t="s">
        <v>439</v>
      </c>
      <c r="O277" s="10" t="s">
        <v>439</v>
      </c>
      <c r="P277" s="10" t="s">
        <v>439</v>
      </c>
      <c r="Q277" s="10" t="s">
        <v>439</v>
      </c>
      <c r="R277" s="10" t="s">
        <v>439</v>
      </c>
      <c r="S277" s="10" t="s">
        <v>439</v>
      </c>
      <c r="U277" s="12" t="s">
        <v>439</v>
      </c>
      <c r="V277" s="12" t="s">
        <v>439</v>
      </c>
      <c r="W277" s="12" t="s">
        <v>439</v>
      </c>
      <c r="X277" s="12" t="s">
        <v>439</v>
      </c>
      <c r="Y277" s="12" t="s">
        <v>439</v>
      </c>
      <c r="Z277" s="12" t="s">
        <v>439</v>
      </c>
      <c r="AA277" s="12" t="s">
        <v>439</v>
      </c>
    </row>
    <row r="278" spans="13:27" x14ac:dyDescent="0.2">
      <c r="M278" s="10" t="s">
        <v>439</v>
      </c>
      <c r="N278" s="10" t="s">
        <v>439</v>
      </c>
      <c r="O278" s="10" t="s">
        <v>439</v>
      </c>
      <c r="P278" s="10" t="s">
        <v>439</v>
      </c>
      <c r="Q278" s="10" t="s">
        <v>439</v>
      </c>
      <c r="R278" s="10" t="s">
        <v>439</v>
      </c>
      <c r="S278" s="10" t="s">
        <v>439</v>
      </c>
      <c r="U278" s="12" t="s">
        <v>439</v>
      </c>
      <c r="V278" s="12" t="s">
        <v>439</v>
      </c>
      <c r="W278" s="12" t="s">
        <v>439</v>
      </c>
      <c r="X278" s="12" t="s">
        <v>439</v>
      </c>
      <c r="Y278" s="12" t="s">
        <v>439</v>
      </c>
      <c r="Z278" s="12" t="s">
        <v>439</v>
      </c>
      <c r="AA278" s="12" t="s">
        <v>439</v>
      </c>
    </row>
    <row r="279" spans="13:27" x14ac:dyDescent="0.2">
      <c r="M279" s="10" t="s">
        <v>439</v>
      </c>
      <c r="N279" s="10" t="s">
        <v>439</v>
      </c>
      <c r="O279" s="10" t="s">
        <v>439</v>
      </c>
      <c r="P279" s="10" t="s">
        <v>439</v>
      </c>
      <c r="Q279" s="10" t="s">
        <v>439</v>
      </c>
      <c r="R279" s="10" t="s">
        <v>439</v>
      </c>
      <c r="S279" s="10" t="s">
        <v>439</v>
      </c>
      <c r="U279" s="12" t="s">
        <v>439</v>
      </c>
      <c r="V279" s="12" t="s">
        <v>439</v>
      </c>
      <c r="W279" s="12" t="s">
        <v>439</v>
      </c>
      <c r="X279" s="12" t="s">
        <v>439</v>
      </c>
      <c r="Y279" s="12" t="s">
        <v>439</v>
      </c>
      <c r="Z279" s="12" t="s">
        <v>439</v>
      </c>
      <c r="AA279" s="12" t="s">
        <v>439</v>
      </c>
    </row>
    <row r="280" spans="13:27" x14ac:dyDescent="0.2">
      <c r="M280" s="10" t="s">
        <v>439</v>
      </c>
      <c r="N280" s="10" t="s">
        <v>439</v>
      </c>
      <c r="O280" s="10" t="s">
        <v>439</v>
      </c>
      <c r="P280" s="10" t="s">
        <v>439</v>
      </c>
      <c r="Q280" s="10" t="s">
        <v>439</v>
      </c>
      <c r="R280" s="10" t="s">
        <v>439</v>
      </c>
      <c r="S280" s="10" t="s">
        <v>439</v>
      </c>
      <c r="U280" s="12" t="s">
        <v>439</v>
      </c>
      <c r="V280" s="12" t="s">
        <v>439</v>
      </c>
      <c r="W280" s="12" t="s">
        <v>439</v>
      </c>
      <c r="X280" s="12" t="s">
        <v>439</v>
      </c>
      <c r="Y280" s="12" t="s">
        <v>439</v>
      </c>
      <c r="Z280" s="12" t="s">
        <v>439</v>
      </c>
      <c r="AA280" s="12" t="s">
        <v>439</v>
      </c>
    </row>
    <row r="281" spans="13:27" x14ac:dyDescent="0.2">
      <c r="M281" s="10" t="s">
        <v>439</v>
      </c>
      <c r="N281" s="10" t="s">
        <v>439</v>
      </c>
      <c r="O281" s="10" t="s">
        <v>439</v>
      </c>
      <c r="P281" s="10" t="s">
        <v>439</v>
      </c>
      <c r="Q281" s="10" t="s">
        <v>439</v>
      </c>
      <c r="R281" s="10" t="s">
        <v>439</v>
      </c>
      <c r="S281" s="10" t="s">
        <v>439</v>
      </c>
      <c r="U281" s="12" t="s">
        <v>439</v>
      </c>
      <c r="V281" s="12" t="s">
        <v>439</v>
      </c>
      <c r="W281" s="12" t="s">
        <v>439</v>
      </c>
      <c r="X281" s="12" t="s">
        <v>439</v>
      </c>
      <c r="Y281" s="12" t="s">
        <v>439</v>
      </c>
      <c r="Z281" s="12" t="s">
        <v>439</v>
      </c>
      <c r="AA281" s="12" t="s">
        <v>439</v>
      </c>
    </row>
    <row r="282" spans="13:27" x14ac:dyDescent="0.2">
      <c r="M282" s="10" t="s">
        <v>439</v>
      </c>
      <c r="N282" s="10" t="s">
        <v>439</v>
      </c>
      <c r="O282" s="10" t="s">
        <v>439</v>
      </c>
      <c r="P282" s="10" t="s">
        <v>439</v>
      </c>
      <c r="Q282" s="10" t="s">
        <v>439</v>
      </c>
      <c r="R282" s="10" t="s">
        <v>439</v>
      </c>
      <c r="S282" s="10" t="s">
        <v>439</v>
      </c>
      <c r="U282" s="12" t="s">
        <v>439</v>
      </c>
      <c r="V282" s="12" t="s">
        <v>439</v>
      </c>
      <c r="W282" s="12" t="s">
        <v>439</v>
      </c>
      <c r="X282" s="12" t="s">
        <v>439</v>
      </c>
      <c r="Y282" s="12" t="s">
        <v>439</v>
      </c>
      <c r="Z282" s="12" t="s">
        <v>439</v>
      </c>
      <c r="AA282" s="12" t="s">
        <v>439</v>
      </c>
    </row>
    <row r="283" spans="13:27" x14ac:dyDescent="0.2">
      <c r="M283" s="10" t="s">
        <v>439</v>
      </c>
      <c r="N283" s="10" t="s">
        <v>439</v>
      </c>
      <c r="O283" s="10" t="s">
        <v>439</v>
      </c>
      <c r="P283" s="10" t="s">
        <v>439</v>
      </c>
      <c r="Q283" s="10" t="s">
        <v>439</v>
      </c>
      <c r="R283" s="10" t="s">
        <v>439</v>
      </c>
      <c r="S283" s="10" t="s">
        <v>439</v>
      </c>
      <c r="U283" s="12" t="s">
        <v>439</v>
      </c>
      <c r="V283" s="12" t="s">
        <v>439</v>
      </c>
      <c r="W283" s="12" t="s">
        <v>439</v>
      </c>
      <c r="X283" s="12" t="s">
        <v>439</v>
      </c>
      <c r="Y283" s="12" t="s">
        <v>439</v>
      </c>
      <c r="Z283" s="12" t="s">
        <v>439</v>
      </c>
      <c r="AA283" s="12" t="s">
        <v>439</v>
      </c>
    </row>
    <row r="284" spans="13:27" x14ac:dyDescent="0.2">
      <c r="M284" s="10" t="s">
        <v>439</v>
      </c>
      <c r="N284" s="10" t="s">
        <v>439</v>
      </c>
      <c r="O284" s="10" t="s">
        <v>439</v>
      </c>
      <c r="P284" s="10" t="s">
        <v>439</v>
      </c>
      <c r="Q284" s="10" t="s">
        <v>439</v>
      </c>
      <c r="R284" s="10" t="s">
        <v>439</v>
      </c>
      <c r="S284" s="10" t="s">
        <v>439</v>
      </c>
      <c r="U284" s="12" t="s">
        <v>439</v>
      </c>
      <c r="V284" s="12" t="s">
        <v>439</v>
      </c>
      <c r="W284" s="12" t="s">
        <v>439</v>
      </c>
      <c r="X284" s="12" t="s">
        <v>439</v>
      </c>
      <c r="Y284" s="12" t="s">
        <v>439</v>
      </c>
      <c r="Z284" s="12" t="s">
        <v>439</v>
      </c>
      <c r="AA284" s="12" t="s">
        <v>439</v>
      </c>
    </row>
    <row r="285" spans="13:27" x14ac:dyDescent="0.2">
      <c r="M285" s="10" t="s">
        <v>439</v>
      </c>
      <c r="N285" s="10" t="s">
        <v>439</v>
      </c>
      <c r="O285" s="10" t="s">
        <v>439</v>
      </c>
      <c r="P285" s="10" t="s">
        <v>439</v>
      </c>
      <c r="Q285" s="10" t="s">
        <v>439</v>
      </c>
      <c r="R285" s="10" t="s">
        <v>439</v>
      </c>
      <c r="S285" s="10" t="s">
        <v>439</v>
      </c>
      <c r="U285" s="12" t="s">
        <v>439</v>
      </c>
      <c r="V285" s="12" t="s">
        <v>439</v>
      </c>
      <c r="W285" s="12" t="s">
        <v>439</v>
      </c>
      <c r="X285" s="12" t="s">
        <v>439</v>
      </c>
      <c r="Y285" s="12" t="s">
        <v>439</v>
      </c>
      <c r="Z285" s="12" t="s">
        <v>439</v>
      </c>
      <c r="AA285" s="12" t="s">
        <v>439</v>
      </c>
    </row>
    <row r="286" spans="13:27" x14ac:dyDescent="0.2">
      <c r="M286" s="10" t="s">
        <v>439</v>
      </c>
      <c r="N286" s="10" t="s">
        <v>439</v>
      </c>
      <c r="O286" s="10" t="s">
        <v>439</v>
      </c>
      <c r="P286" s="10" t="s">
        <v>439</v>
      </c>
      <c r="Q286" s="10" t="s">
        <v>439</v>
      </c>
      <c r="R286" s="10" t="s">
        <v>439</v>
      </c>
      <c r="S286" s="10" t="s">
        <v>439</v>
      </c>
      <c r="U286" s="12" t="s">
        <v>439</v>
      </c>
      <c r="V286" s="12" t="s">
        <v>439</v>
      </c>
      <c r="W286" s="12" t="s">
        <v>439</v>
      </c>
      <c r="X286" s="12" t="s">
        <v>439</v>
      </c>
      <c r="Y286" s="12" t="s">
        <v>439</v>
      </c>
      <c r="Z286" s="12" t="s">
        <v>439</v>
      </c>
      <c r="AA286" s="12" t="s">
        <v>439</v>
      </c>
    </row>
    <row r="287" spans="13:27" x14ac:dyDescent="0.2">
      <c r="M287" s="10" t="s">
        <v>439</v>
      </c>
      <c r="N287" s="10" t="s">
        <v>439</v>
      </c>
      <c r="O287" s="10" t="s">
        <v>439</v>
      </c>
      <c r="P287" s="10" t="s">
        <v>439</v>
      </c>
      <c r="Q287" s="10" t="s">
        <v>439</v>
      </c>
      <c r="R287" s="10" t="s">
        <v>439</v>
      </c>
      <c r="S287" s="10" t="s">
        <v>439</v>
      </c>
      <c r="U287" s="12" t="s">
        <v>439</v>
      </c>
      <c r="V287" s="12" t="s">
        <v>439</v>
      </c>
      <c r="W287" s="12" t="s">
        <v>439</v>
      </c>
      <c r="X287" s="12" t="s">
        <v>439</v>
      </c>
      <c r="Y287" s="12" t="s">
        <v>439</v>
      </c>
      <c r="Z287" s="12" t="s">
        <v>439</v>
      </c>
      <c r="AA287" s="12" t="s">
        <v>439</v>
      </c>
    </row>
    <row r="288" spans="13:27" x14ac:dyDescent="0.2">
      <c r="M288" s="10" t="s">
        <v>439</v>
      </c>
      <c r="N288" s="10" t="s">
        <v>439</v>
      </c>
      <c r="O288" s="10" t="s">
        <v>439</v>
      </c>
      <c r="P288" s="10" t="s">
        <v>439</v>
      </c>
      <c r="Q288" s="10" t="s">
        <v>439</v>
      </c>
      <c r="R288" s="10" t="s">
        <v>439</v>
      </c>
      <c r="S288" s="10" t="s">
        <v>439</v>
      </c>
      <c r="U288" s="12" t="s">
        <v>439</v>
      </c>
      <c r="V288" s="12" t="s">
        <v>439</v>
      </c>
      <c r="W288" s="12" t="s">
        <v>439</v>
      </c>
      <c r="X288" s="12" t="s">
        <v>439</v>
      </c>
      <c r="Y288" s="12" t="s">
        <v>439</v>
      </c>
      <c r="Z288" s="12" t="s">
        <v>439</v>
      </c>
      <c r="AA288" s="12" t="s">
        <v>439</v>
      </c>
    </row>
    <row r="289" spans="13:27" x14ac:dyDescent="0.2">
      <c r="M289" s="10" t="s">
        <v>439</v>
      </c>
      <c r="N289" s="10" t="s">
        <v>439</v>
      </c>
      <c r="O289" s="10" t="s">
        <v>439</v>
      </c>
      <c r="P289" s="10" t="s">
        <v>439</v>
      </c>
      <c r="Q289" s="10" t="s">
        <v>439</v>
      </c>
      <c r="R289" s="10" t="s">
        <v>439</v>
      </c>
      <c r="S289" s="10" t="s">
        <v>439</v>
      </c>
      <c r="U289" s="12" t="s">
        <v>439</v>
      </c>
      <c r="V289" s="12" t="s">
        <v>439</v>
      </c>
      <c r="W289" s="12" t="s">
        <v>439</v>
      </c>
      <c r="X289" s="12" t="s">
        <v>439</v>
      </c>
      <c r="Y289" s="12" t="s">
        <v>439</v>
      </c>
      <c r="Z289" s="12" t="s">
        <v>439</v>
      </c>
      <c r="AA289" s="12" t="s">
        <v>439</v>
      </c>
    </row>
    <row r="290" spans="13:27" x14ac:dyDescent="0.2">
      <c r="M290" s="10" t="s">
        <v>439</v>
      </c>
      <c r="N290" s="10" t="s">
        <v>439</v>
      </c>
      <c r="O290" s="10" t="s">
        <v>439</v>
      </c>
      <c r="P290" s="10" t="s">
        <v>439</v>
      </c>
      <c r="Q290" s="10" t="s">
        <v>439</v>
      </c>
      <c r="R290" s="10" t="s">
        <v>439</v>
      </c>
      <c r="S290" s="10" t="s">
        <v>439</v>
      </c>
      <c r="U290" s="12" t="s">
        <v>439</v>
      </c>
      <c r="V290" s="12" t="s">
        <v>439</v>
      </c>
      <c r="W290" s="12" t="s">
        <v>439</v>
      </c>
      <c r="X290" s="12" t="s">
        <v>439</v>
      </c>
      <c r="Y290" s="12" t="s">
        <v>439</v>
      </c>
      <c r="Z290" s="12" t="s">
        <v>439</v>
      </c>
      <c r="AA290" s="12" t="s">
        <v>439</v>
      </c>
    </row>
    <row r="291" spans="13:27" x14ac:dyDescent="0.2">
      <c r="M291" s="10" t="s">
        <v>439</v>
      </c>
      <c r="N291" s="10" t="s">
        <v>439</v>
      </c>
      <c r="O291" s="10" t="s">
        <v>439</v>
      </c>
      <c r="P291" s="10" t="s">
        <v>439</v>
      </c>
      <c r="Q291" s="10" t="s">
        <v>439</v>
      </c>
      <c r="R291" s="10" t="s">
        <v>439</v>
      </c>
      <c r="S291" s="10" t="s">
        <v>439</v>
      </c>
      <c r="U291" s="12" t="s">
        <v>439</v>
      </c>
      <c r="V291" s="12" t="s">
        <v>439</v>
      </c>
      <c r="W291" s="12" t="s">
        <v>439</v>
      </c>
      <c r="X291" s="12" t="s">
        <v>439</v>
      </c>
      <c r="Y291" s="12" t="s">
        <v>439</v>
      </c>
      <c r="Z291" s="12" t="s">
        <v>439</v>
      </c>
      <c r="AA291" s="12" t="s">
        <v>439</v>
      </c>
    </row>
    <row r="292" spans="13:27" x14ac:dyDescent="0.2">
      <c r="M292" s="10" t="s">
        <v>439</v>
      </c>
      <c r="N292" s="10" t="s">
        <v>439</v>
      </c>
      <c r="O292" s="10" t="s">
        <v>439</v>
      </c>
      <c r="P292" s="10" t="s">
        <v>439</v>
      </c>
      <c r="Q292" s="10" t="s">
        <v>439</v>
      </c>
      <c r="R292" s="10" t="s">
        <v>439</v>
      </c>
      <c r="S292" s="10" t="s">
        <v>439</v>
      </c>
      <c r="U292" s="12" t="s">
        <v>439</v>
      </c>
      <c r="V292" s="12" t="s">
        <v>439</v>
      </c>
      <c r="W292" s="12" t="s">
        <v>439</v>
      </c>
      <c r="X292" s="12" t="s">
        <v>439</v>
      </c>
      <c r="Y292" s="12" t="s">
        <v>439</v>
      </c>
      <c r="Z292" s="12" t="s">
        <v>439</v>
      </c>
      <c r="AA292" s="12" t="s">
        <v>439</v>
      </c>
    </row>
    <row r="293" spans="13:27" x14ac:dyDescent="0.2">
      <c r="M293" s="10" t="s">
        <v>439</v>
      </c>
      <c r="N293" s="10" t="s">
        <v>439</v>
      </c>
      <c r="O293" s="10" t="s">
        <v>439</v>
      </c>
      <c r="P293" s="10" t="s">
        <v>439</v>
      </c>
      <c r="Q293" s="10" t="s">
        <v>439</v>
      </c>
      <c r="R293" s="10" t="s">
        <v>439</v>
      </c>
      <c r="S293" s="10" t="s">
        <v>439</v>
      </c>
      <c r="U293" s="12" t="s">
        <v>439</v>
      </c>
      <c r="V293" s="12" t="s">
        <v>439</v>
      </c>
      <c r="W293" s="12" t="s">
        <v>439</v>
      </c>
      <c r="X293" s="12" t="s">
        <v>439</v>
      </c>
      <c r="Y293" s="12" t="s">
        <v>439</v>
      </c>
      <c r="Z293" s="12" t="s">
        <v>439</v>
      </c>
      <c r="AA293" s="12" t="s">
        <v>439</v>
      </c>
    </row>
    <row r="294" spans="13:27" x14ac:dyDescent="0.2">
      <c r="M294" s="10" t="s">
        <v>439</v>
      </c>
      <c r="N294" s="10" t="s">
        <v>439</v>
      </c>
      <c r="O294" s="10" t="s">
        <v>439</v>
      </c>
      <c r="P294" s="10" t="s">
        <v>439</v>
      </c>
      <c r="Q294" s="10" t="s">
        <v>439</v>
      </c>
      <c r="R294" s="10" t="s">
        <v>439</v>
      </c>
      <c r="S294" s="10" t="s">
        <v>439</v>
      </c>
      <c r="U294" s="12" t="s">
        <v>439</v>
      </c>
      <c r="V294" s="12" t="s">
        <v>439</v>
      </c>
      <c r="W294" s="12" t="s">
        <v>439</v>
      </c>
      <c r="X294" s="12" t="s">
        <v>439</v>
      </c>
      <c r="Y294" s="12" t="s">
        <v>439</v>
      </c>
      <c r="Z294" s="12" t="s">
        <v>439</v>
      </c>
      <c r="AA294" s="12" t="s">
        <v>439</v>
      </c>
    </row>
    <row r="295" spans="13:27" x14ac:dyDescent="0.2">
      <c r="M295" s="10" t="s">
        <v>439</v>
      </c>
      <c r="N295" s="10" t="s">
        <v>439</v>
      </c>
      <c r="O295" s="10" t="s">
        <v>439</v>
      </c>
      <c r="P295" s="10" t="s">
        <v>439</v>
      </c>
      <c r="Q295" s="10" t="s">
        <v>439</v>
      </c>
      <c r="R295" s="10" t="s">
        <v>439</v>
      </c>
      <c r="S295" s="10" t="s">
        <v>439</v>
      </c>
      <c r="U295" s="12" t="s">
        <v>439</v>
      </c>
      <c r="V295" s="12" t="s">
        <v>439</v>
      </c>
      <c r="W295" s="12" t="s">
        <v>439</v>
      </c>
      <c r="X295" s="12" t="s">
        <v>439</v>
      </c>
      <c r="Y295" s="12" t="s">
        <v>439</v>
      </c>
      <c r="Z295" s="12" t="s">
        <v>439</v>
      </c>
      <c r="AA295" s="12" t="s">
        <v>439</v>
      </c>
    </row>
    <row r="296" spans="13:27" x14ac:dyDescent="0.2">
      <c r="M296" s="10" t="s">
        <v>439</v>
      </c>
      <c r="N296" s="10" t="s">
        <v>439</v>
      </c>
      <c r="O296" s="10" t="s">
        <v>439</v>
      </c>
      <c r="P296" s="10" t="s">
        <v>439</v>
      </c>
      <c r="Q296" s="10" t="s">
        <v>439</v>
      </c>
      <c r="R296" s="10" t="s">
        <v>439</v>
      </c>
      <c r="S296" s="10" t="s">
        <v>439</v>
      </c>
      <c r="U296" s="12" t="s">
        <v>439</v>
      </c>
      <c r="V296" s="12" t="s">
        <v>439</v>
      </c>
      <c r="W296" s="12" t="s">
        <v>439</v>
      </c>
      <c r="X296" s="12" t="s">
        <v>439</v>
      </c>
      <c r="Y296" s="12" t="s">
        <v>439</v>
      </c>
      <c r="Z296" s="12" t="s">
        <v>439</v>
      </c>
      <c r="AA296" s="12" t="s">
        <v>439</v>
      </c>
    </row>
    <row r="297" spans="13:27" x14ac:dyDescent="0.2">
      <c r="M297" s="10" t="s">
        <v>439</v>
      </c>
      <c r="N297" s="10" t="s">
        <v>439</v>
      </c>
      <c r="O297" s="10" t="s">
        <v>439</v>
      </c>
      <c r="P297" s="10" t="s">
        <v>439</v>
      </c>
      <c r="Q297" s="10" t="s">
        <v>439</v>
      </c>
      <c r="R297" s="10" t="s">
        <v>439</v>
      </c>
      <c r="S297" s="10" t="s">
        <v>439</v>
      </c>
      <c r="U297" s="12" t="s">
        <v>439</v>
      </c>
      <c r="V297" s="12" t="s">
        <v>439</v>
      </c>
      <c r="W297" s="12" t="s">
        <v>439</v>
      </c>
      <c r="X297" s="12" t="s">
        <v>439</v>
      </c>
      <c r="Y297" s="12" t="s">
        <v>439</v>
      </c>
      <c r="Z297" s="12" t="s">
        <v>439</v>
      </c>
      <c r="AA297" s="12" t="s">
        <v>439</v>
      </c>
    </row>
    <row r="298" spans="13:27" x14ac:dyDescent="0.2">
      <c r="M298" s="10" t="s">
        <v>439</v>
      </c>
      <c r="N298" s="10" t="s">
        <v>439</v>
      </c>
      <c r="O298" s="10" t="s">
        <v>439</v>
      </c>
      <c r="P298" s="10" t="s">
        <v>439</v>
      </c>
      <c r="Q298" s="10" t="s">
        <v>439</v>
      </c>
      <c r="R298" s="10" t="s">
        <v>439</v>
      </c>
      <c r="S298" s="10" t="s">
        <v>439</v>
      </c>
      <c r="U298" s="12" t="s">
        <v>439</v>
      </c>
      <c r="V298" s="12" t="s">
        <v>439</v>
      </c>
      <c r="W298" s="12" t="s">
        <v>439</v>
      </c>
      <c r="X298" s="12" t="s">
        <v>439</v>
      </c>
      <c r="Y298" s="12" t="s">
        <v>439</v>
      </c>
      <c r="Z298" s="12" t="s">
        <v>439</v>
      </c>
      <c r="AA298" s="12" t="s">
        <v>439</v>
      </c>
    </row>
    <row r="299" spans="13:27" x14ac:dyDescent="0.2">
      <c r="M299" s="10" t="s">
        <v>439</v>
      </c>
      <c r="N299" s="10" t="s">
        <v>439</v>
      </c>
      <c r="O299" s="10" t="s">
        <v>439</v>
      </c>
      <c r="P299" s="10" t="s">
        <v>439</v>
      </c>
      <c r="Q299" s="10" t="s">
        <v>439</v>
      </c>
      <c r="R299" s="10" t="s">
        <v>439</v>
      </c>
      <c r="S299" s="10" t="s">
        <v>439</v>
      </c>
      <c r="U299" s="12" t="s">
        <v>439</v>
      </c>
      <c r="V299" s="12" t="s">
        <v>439</v>
      </c>
      <c r="W299" s="12" t="s">
        <v>439</v>
      </c>
      <c r="X299" s="12" t="s">
        <v>439</v>
      </c>
      <c r="Y299" s="12" t="s">
        <v>439</v>
      </c>
      <c r="Z299" s="12" t="s">
        <v>439</v>
      </c>
      <c r="AA299" s="12" t="s">
        <v>439</v>
      </c>
    </row>
    <row r="300" spans="13:27" x14ac:dyDescent="0.2">
      <c r="M300" s="10" t="s">
        <v>439</v>
      </c>
      <c r="N300" s="10" t="s">
        <v>439</v>
      </c>
      <c r="O300" s="10" t="s">
        <v>439</v>
      </c>
      <c r="P300" s="10" t="s">
        <v>439</v>
      </c>
      <c r="Q300" s="10" t="s">
        <v>439</v>
      </c>
      <c r="R300" s="10" t="s">
        <v>439</v>
      </c>
      <c r="S300" s="10" t="s">
        <v>439</v>
      </c>
      <c r="U300" s="12" t="s">
        <v>439</v>
      </c>
      <c r="V300" s="12" t="s">
        <v>439</v>
      </c>
      <c r="W300" s="12" t="s">
        <v>439</v>
      </c>
      <c r="X300" s="12" t="s">
        <v>439</v>
      </c>
      <c r="Y300" s="12" t="s">
        <v>439</v>
      </c>
      <c r="Z300" s="12" t="s">
        <v>439</v>
      </c>
      <c r="AA300" s="12" t="s">
        <v>439</v>
      </c>
    </row>
    <row r="301" spans="13:27" x14ac:dyDescent="0.2">
      <c r="M301" s="10" t="s">
        <v>439</v>
      </c>
      <c r="N301" s="10" t="s">
        <v>439</v>
      </c>
      <c r="O301" s="10" t="s">
        <v>439</v>
      </c>
      <c r="P301" s="10" t="s">
        <v>439</v>
      </c>
      <c r="Q301" s="10" t="s">
        <v>439</v>
      </c>
      <c r="R301" s="10" t="s">
        <v>439</v>
      </c>
      <c r="S301" s="10" t="s">
        <v>439</v>
      </c>
      <c r="U301" s="12" t="s">
        <v>439</v>
      </c>
      <c r="V301" s="12" t="s">
        <v>439</v>
      </c>
      <c r="W301" s="12" t="s">
        <v>439</v>
      </c>
      <c r="X301" s="12" t="s">
        <v>439</v>
      </c>
      <c r="Y301" s="12" t="s">
        <v>439</v>
      </c>
      <c r="Z301" s="12" t="s">
        <v>439</v>
      </c>
      <c r="AA301" s="12" t="s">
        <v>439</v>
      </c>
    </row>
    <row r="302" spans="13:27" x14ac:dyDescent="0.2">
      <c r="M302" s="10" t="s">
        <v>439</v>
      </c>
      <c r="N302" s="10" t="s">
        <v>439</v>
      </c>
      <c r="O302" s="10" t="s">
        <v>439</v>
      </c>
      <c r="P302" s="10" t="s">
        <v>439</v>
      </c>
      <c r="Q302" s="10" t="s">
        <v>439</v>
      </c>
      <c r="R302" s="10" t="s">
        <v>439</v>
      </c>
      <c r="S302" s="10" t="s">
        <v>439</v>
      </c>
      <c r="U302" s="12" t="s">
        <v>439</v>
      </c>
      <c r="V302" s="12" t="s">
        <v>439</v>
      </c>
      <c r="W302" s="12" t="s">
        <v>439</v>
      </c>
      <c r="X302" s="12" t="s">
        <v>439</v>
      </c>
      <c r="Y302" s="12" t="s">
        <v>439</v>
      </c>
      <c r="Z302" s="12" t="s">
        <v>439</v>
      </c>
      <c r="AA302" s="12" t="s">
        <v>439</v>
      </c>
    </row>
    <row r="303" spans="13:27" x14ac:dyDescent="0.2">
      <c r="M303" s="10" t="s">
        <v>439</v>
      </c>
      <c r="N303" s="10" t="s">
        <v>439</v>
      </c>
      <c r="O303" s="10" t="s">
        <v>439</v>
      </c>
      <c r="P303" s="10" t="s">
        <v>439</v>
      </c>
      <c r="Q303" s="10" t="s">
        <v>439</v>
      </c>
      <c r="R303" s="10" t="s">
        <v>439</v>
      </c>
      <c r="S303" s="10" t="s">
        <v>439</v>
      </c>
      <c r="U303" s="12" t="s">
        <v>439</v>
      </c>
      <c r="V303" s="12" t="s">
        <v>439</v>
      </c>
      <c r="W303" s="12" t="s">
        <v>439</v>
      </c>
      <c r="X303" s="12" t="s">
        <v>439</v>
      </c>
      <c r="Y303" s="12" t="s">
        <v>439</v>
      </c>
      <c r="Z303" s="12" t="s">
        <v>439</v>
      </c>
      <c r="AA303" s="12" t="s">
        <v>439</v>
      </c>
    </row>
    <row r="304" spans="13:27" x14ac:dyDescent="0.2">
      <c r="M304" s="10" t="s">
        <v>439</v>
      </c>
      <c r="N304" s="10" t="s">
        <v>439</v>
      </c>
      <c r="O304" s="10" t="s">
        <v>439</v>
      </c>
      <c r="P304" s="10" t="s">
        <v>439</v>
      </c>
      <c r="Q304" s="10" t="s">
        <v>439</v>
      </c>
      <c r="R304" s="10" t="s">
        <v>439</v>
      </c>
      <c r="S304" s="10" t="s">
        <v>439</v>
      </c>
      <c r="U304" s="12" t="s">
        <v>439</v>
      </c>
      <c r="V304" s="12" t="s">
        <v>439</v>
      </c>
      <c r="W304" s="12" t="s">
        <v>439</v>
      </c>
      <c r="X304" s="12" t="s">
        <v>439</v>
      </c>
      <c r="Y304" s="12" t="s">
        <v>439</v>
      </c>
      <c r="Z304" s="12" t="s">
        <v>439</v>
      </c>
      <c r="AA304" s="12" t="s">
        <v>439</v>
      </c>
    </row>
    <row r="305" spans="13:27" x14ac:dyDescent="0.2">
      <c r="M305" s="10" t="s">
        <v>439</v>
      </c>
      <c r="N305" s="10" t="s">
        <v>439</v>
      </c>
      <c r="O305" s="10" t="s">
        <v>439</v>
      </c>
      <c r="P305" s="10" t="s">
        <v>439</v>
      </c>
      <c r="Q305" s="10" t="s">
        <v>439</v>
      </c>
      <c r="R305" s="10" t="s">
        <v>439</v>
      </c>
      <c r="S305" s="10" t="s">
        <v>439</v>
      </c>
      <c r="U305" s="12" t="s">
        <v>439</v>
      </c>
      <c r="V305" s="12" t="s">
        <v>439</v>
      </c>
      <c r="W305" s="12" t="s">
        <v>439</v>
      </c>
      <c r="X305" s="12" t="s">
        <v>439</v>
      </c>
      <c r="Y305" s="12" t="s">
        <v>439</v>
      </c>
      <c r="Z305" s="12" t="s">
        <v>439</v>
      </c>
      <c r="AA305" s="12" t="s">
        <v>439</v>
      </c>
    </row>
    <row r="306" spans="13:27" x14ac:dyDescent="0.2">
      <c r="M306" s="10" t="s">
        <v>439</v>
      </c>
      <c r="N306" s="10" t="s">
        <v>439</v>
      </c>
      <c r="O306" s="10" t="s">
        <v>439</v>
      </c>
      <c r="P306" s="10" t="s">
        <v>439</v>
      </c>
      <c r="Q306" s="10" t="s">
        <v>439</v>
      </c>
      <c r="R306" s="10" t="s">
        <v>439</v>
      </c>
      <c r="S306" s="10" t="s">
        <v>439</v>
      </c>
      <c r="U306" s="12" t="s">
        <v>439</v>
      </c>
      <c r="V306" s="12" t="s">
        <v>439</v>
      </c>
      <c r="W306" s="12" t="s">
        <v>439</v>
      </c>
      <c r="X306" s="12" t="s">
        <v>439</v>
      </c>
      <c r="Y306" s="12" t="s">
        <v>439</v>
      </c>
      <c r="Z306" s="12" t="s">
        <v>439</v>
      </c>
      <c r="AA306" s="12" t="s">
        <v>439</v>
      </c>
    </row>
  </sheetData>
  <mergeCells count="27">
    <mergeCell ref="P23:R23"/>
    <mergeCell ref="E25:E27"/>
    <mergeCell ref="E29:E30"/>
    <mergeCell ref="E32:E33"/>
    <mergeCell ref="L20:L21"/>
    <mergeCell ref="E23:F24"/>
    <mergeCell ref="G23:I23"/>
    <mergeCell ref="J23:L23"/>
    <mergeCell ref="P49:R49"/>
    <mergeCell ref="E51:E53"/>
    <mergeCell ref="E55:E56"/>
    <mergeCell ref="E35:E38"/>
    <mergeCell ref="E40:E42"/>
    <mergeCell ref="E44:E46"/>
    <mergeCell ref="E49:F50"/>
    <mergeCell ref="G49:I49"/>
    <mergeCell ref="E61:E64"/>
    <mergeCell ref="E66:E68"/>
    <mergeCell ref="E70:E72"/>
    <mergeCell ref="J49:L49"/>
    <mergeCell ref="M49:O49"/>
    <mergeCell ref="I9:L9"/>
    <mergeCell ref="I12:L12"/>
    <mergeCell ref="H15:K15"/>
    <mergeCell ref="L15:N15"/>
    <mergeCell ref="E58:E59"/>
    <mergeCell ref="M23:O23"/>
  </mergeCells>
  <conditionalFormatting sqref="C73:J74 C18:D72 F18 C75:D206">
    <cfRule type="expression" dxfId="55" priority="57">
      <formula>$C18&lt;&gt;""</formula>
    </cfRule>
  </conditionalFormatting>
  <conditionalFormatting sqref="F22:J22 G25:H42 G47:J48 G44:H46">
    <cfRule type="expression" dxfId="54" priority="50">
      <formula>$C22&lt;&gt;""</formula>
    </cfRule>
  </conditionalFormatting>
  <conditionalFormatting sqref="E25:F25 F26:F27 E29:F29 F38 E39:F40 F46 E31:F32 F30 E34:F35 F33 E43:F44 F41:F42">
    <cfRule type="expression" dxfId="53" priority="51">
      <formula>$C26&lt;&gt;""</formula>
    </cfRule>
  </conditionalFormatting>
  <conditionalFormatting sqref="E28:F28 F45">
    <cfRule type="expression" dxfId="52" priority="52">
      <formula>#REF!&lt;&gt;""</formula>
    </cfRule>
  </conditionalFormatting>
  <conditionalFormatting sqref="F36">
    <cfRule type="expression" dxfId="51" priority="53">
      <formula>$C38&lt;&gt;""</formula>
    </cfRule>
  </conditionalFormatting>
  <conditionalFormatting sqref="F37">
    <cfRule type="expression" dxfId="50" priority="54">
      <formula>#REF!&lt;&gt;""</formula>
    </cfRule>
  </conditionalFormatting>
  <conditionalFormatting sqref="I47:I48 I22">
    <cfRule type="colorScale" priority="55">
      <colorScale>
        <cfvo type="min"/>
        <cfvo type="max"/>
        <color rgb="FFFCFCFF"/>
        <color rgb="FF63BE7B"/>
      </colorScale>
    </cfRule>
  </conditionalFormatting>
  <conditionalFormatting sqref="G54:J54">
    <cfRule type="expression" dxfId="49" priority="44">
      <formula>$C54&lt;&gt;""</formula>
    </cfRule>
  </conditionalFormatting>
  <conditionalFormatting sqref="E51:F51 F52:F53 E55:F55 F64 E65:F66 F72 E57:F58 F56 E60:F61 F59 E69:F70 F67:F68">
    <cfRule type="expression" dxfId="48" priority="45">
      <formula>$C52&lt;&gt;""</formula>
    </cfRule>
  </conditionalFormatting>
  <conditionalFormatting sqref="E54:F54 F71">
    <cfRule type="expression" dxfId="47" priority="46">
      <formula>#REF!&lt;&gt;""</formula>
    </cfRule>
  </conditionalFormatting>
  <conditionalFormatting sqref="F62">
    <cfRule type="expression" dxfId="46" priority="47">
      <formula>$C64&lt;&gt;""</formula>
    </cfRule>
  </conditionalFormatting>
  <conditionalFormatting sqref="F63">
    <cfRule type="expression" dxfId="45" priority="48">
      <formula>#REF!&lt;&gt;""</formula>
    </cfRule>
  </conditionalFormatting>
  <conditionalFormatting sqref="I54">
    <cfRule type="colorScale" priority="49">
      <colorScale>
        <cfvo type="min"/>
        <cfvo type="max"/>
        <color rgb="FFFCFCFF"/>
        <color rgb="FF63BE7B"/>
      </colorScale>
    </cfRule>
  </conditionalFormatting>
  <conditionalFormatting sqref="I29">
    <cfRule type="expression" dxfId="44" priority="43">
      <formula>$C29&lt;&gt;""</formula>
    </cfRule>
  </conditionalFormatting>
  <conditionalFormatting sqref="J25:K27">
    <cfRule type="expression" dxfId="43" priority="42">
      <formula>$C25&lt;&gt;""</formula>
    </cfRule>
  </conditionalFormatting>
  <conditionalFormatting sqref="M25:N27">
    <cfRule type="expression" dxfId="42" priority="41">
      <formula>$C25&lt;&gt;""</formula>
    </cfRule>
  </conditionalFormatting>
  <conditionalFormatting sqref="G51:H53">
    <cfRule type="expression" dxfId="41" priority="40">
      <formula>$C51&lt;&gt;""</formula>
    </cfRule>
  </conditionalFormatting>
  <conditionalFormatting sqref="J51:K53">
    <cfRule type="expression" dxfId="40" priority="39">
      <formula>$C51&lt;&gt;""</formula>
    </cfRule>
  </conditionalFormatting>
  <conditionalFormatting sqref="M51:N53">
    <cfRule type="expression" dxfId="39" priority="38">
      <formula>$C51&lt;&gt;""</formula>
    </cfRule>
  </conditionalFormatting>
  <conditionalFormatting sqref="J29:K30">
    <cfRule type="expression" dxfId="38" priority="37">
      <formula>$C29&lt;&gt;""</formula>
    </cfRule>
  </conditionalFormatting>
  <conditionalFormatting sqref="L29">
    <cfRule type="expression" dxfId="37" priority="36">
      <formula>$C29&lt;&gt;""</formula>
    </cfRule>
  </conditionalFormatting>
  <conditionalFormatting sqref="M29:N30">
    <cfRule type="expression" dxfId="36" priority="35">
      <formula>$C29&lt;&gt;""</formula>
    </cfRule>
  </conditionalFormatting>
  <conditionalFormatting sqref="O29">
    <cfRule type="expression" dxfId="35" priority="34">
      <formula>$C29&lt;&gt;""</formula>
    </cfRule>
  </conditionalFormatting>
  <conditionalFormatting sqref="J32:K33">
    <cfRule type="expression" dxfId="34" priority="33">
      <formula>$C32&lt;&gt;""</formula>
    </cfRule>
  </conditionalFormatting>
  <conditionalFormatting sqref="M32:N33">
    <cfRule type="expression" dxfId="33" priority="32">
      <formula>$C32&lt;&gt;""</formula>
    </cfRule>
  </conditionalFormatting>
  <conditionalFormatting sqref="J35:K38">
    <cfRule type="expression" dxfId="32" priority="31">
      <formula>$C35&lt;&gt;""</formula>
    </cfRule>
  </conditionalFormatting>
  <conditionalFormatting sqref="M35:N38">
    <cfRule type="expression" dxfId="31" priority="30">
      <formula>$C35&lt;&gt;""</formula>
    </cfRule>
  </conditionalFormatting>
  <conditionalFormatting sqref="J40:K42">
    <cfRule type="expression" dxfId="30" priority="29">
      <formula>$C40&lt;&gt;""</formula>
    </cfRule>
  </conditionalFormatting>
  <conditionalFormatting sqref="M40:N42">
    <cfRule type="expression" dxfId="29" priority="28">
      <formula>$C40&lt;&gt;""</formula>
    </cfRule>
  </conditionalFormatting>
  <conditionalFormatting sqref="J44:K46">
    <cfRule type="expression" dxfId="28" priority="27">
      <formula>$C44&lt;&gt;""</formula>
    </cfRule>
  </conditionalFormatting>
  <conditionalFormatting sqref="P51:Q68 P70:Q72">
    <cfRule type="expression" dxfId="27" priority="9">
      <formula>$C51&lt;&gt;""</formula>
    </cfRule>
  </conditionalFormatting>
  <conditionalFormatting sqref="R55">
    <cfRule type="expression" dxfId="26" priority="8">
      <formula>$C55&lt;&gt;""</formula>
    </cfRule>
  </conditionalFormatting>
  <conditionalFormatting sqref="M44:N46">
    <cfRule type="expression" dxfId="25" priority="26">
      <formula>$C44&lt;&gt;""</formula>
    </cfRule>
  </conditionalFormatting>
  <conditionalFormatting sqref="G55:H68 G70:H72">
    <cfRule type="expression" dxfId="24" priority="25">
      <formula>$C55&lt;&gt;""</formula>
    </cfRule>
  </conditionalFormatting>
  <conditionalFormatting sqref="I55">
    <cfRule type="expression" dxfId="23" priority="24">
      <formula>$C55&lt;&gt;""</formula>
    </cfRule>
  </conditionalFormatting>
  <conditionalFormatting sqref="J55:K56">
    <cfRule type="expression" dxfId="22" priority="23">
      <formula>$C55&lt;&gt;""</formula>
    </cfRule>
  </conditionalFormatting>
  <conditionalFormatting sqref="L55">
    <cfRule type="expression" dxfId="21" priority="22">
      <formula>$C55&lt;&gt;""</formula>
    </cfRule>
  </conditionalFormatting>
  <conditionalFormatting sqref="M55:N56">
    <cfRule type="expression" dxfId="20" priority="21">
      <formula>$C55&lt;&gt;""</formula>
    </cfRule>
  </conditionalFormatting>
  <conditionalFormatting sqref="O55">
    <cfRule type="expression" dxfId="19" priority="20">
      <formula>$C55&lt;&gt;""</formula>
    </cfRule>
  </conditionalFormatting>
  <conditionalFormatting sqref="J58:K59">
    <cfRule type="expression" dxfId="18" priority="19">
      <formula>$C58&lt;&gt;""</formula>
    </cfRule>
  </conditionalFormatting>
  <conditionalFormatting sqref="M58:N59">
    <cfRule type="expression" dxfId="17" priority="18">
      <formula>$C58&lt;&gt;""</formula>
    </cfRule>
  </conditionalFormatting>
  <conditionalFormatting sqref="J61:K64">
    <cfRule type="expression" dxfId="16" priority="17">
      <formula>$C61&lt;&gt;""</formula>
    </cfRule>
  </conditionalFormatting>
  <conditionalFormatting sqref="M61:N64">
    <cfRule type="expression" dxfId="15" priority="16">
      <formula>$C61&lt;&gt;""</formula>
    </cfRule>
  </conditionalFormatting>
  <conditionalFormatting sqref="J66:K68">
    <cfRule type="expression" dxfId="14" priority="15">
      <formula>$C66&lt;&gt;""</formula>
    </cfRule>
  </conditionalFormatting>
  <conditionalFormatting sqref="M66:N68">
    <cfRule type="expression" dxfId="13" priority="14">
      <formula>$C66&lt;&gt;""</formula>
    </cfRule>
  </conditionalFormatting>
  <conditionalFormatting sqref="J70:K72">
    <cfRule type="expression" dxfId="12" priority="13">
      <formula>$C70&lt;&gt;""</formula>
    </cfRule>
  </conditionalFormatting>
  <conditionalFormatting sqref="M70:N72">
    <cfRule type="expression" dxfId="11" priority="12">
      <formula>$C70&lt;&gt;""</formula>
    </cfRule>
  </conditionalFormatting>
  <conditionalFormatting sqref="P25:Q42 P44:Q46">
    <cfRule type="expression" dxfId="10" priority="11">
      <formula>$C25&lt;&gt;""</formula>
    </cfRule>
  </conditionalFormatting>
  <conditionalFormatting sqref="R29">
    <cfRule type="expression" dxfId="9" priority="10">
      <formula>$C29&lt;&gt;""</formula>
    </cfRule>
  </conditionalFormatting>
  <conditionalFormatting sqref="E22">
    <cfRule type="expression" dxfId="8" priority="119">
      <formula>$C18&lt;&gt;""</formula>
    </cfRule>
  </conditionalFormatting>
  <conditionalFormatting sqref="M77:S136">
    <cfRule type="expression" dxfId="7" priority="4">
      <formula>$M77&lt;&gt;""</formula>
    </cfRule>
  </conditionalFormatting>
  <conditionalFormatting sqref="H25:H42 K25:K42 H51:H68 K51:K68 N51:N68 N25:N42 Q25:Q42 Q51:Q68 Q70:Q72 N70:N72 K70:K72 H70:H72 Q44:Q46 N44:N46 K44:K46 H44:H46">
    <cfRule type="cellIs" dxfId="6" priority="3" operator="greaterThan">
      <formula>0.1</formula>
    </cfRule>
  </conditionalFormatting>
  <conditionalFormatting sqref="U77:AB262">
    <cfRule type="expression" dxfId="5" priority="2">
      <formula>$U77&lt;&gt;""</formula>
    </cfRule>
  </conditionalFormatting>
  <conditionalFormatting sqref="E77:K245">
    <cfRule type="expression" dxfId="4" priority="1">
      <formula>$E77&lt;&gt;""</formula>
    </cfRule>
  </conditionalFormatting>
  <dataValidations count="3">
    <dataValidation type="list" allowBlank="1" showInputMessage="1" showErrorMessage="1" sqref="G6">
      <formula1>TDDate</formula1>
    </dataValidation>
    <dataValidation type="list" allowBlank="1" showInputMessage="1" showErrorMessage="1" sqref="K7">
      <formula1>Shift</formula1>
    </dataValidation>
    <dataValidation type="list" allowBlank="1" showInputMessage="1" showErrorMessage="1" sqref="N3">
      <formula1>Band</formula1>
    </dataValidation>
  </dataValidations>
  <hyperlinks>
    <hyperlink ref="B2" location="Dashboard!A1" display="Dashboard"/>
    <hyperlink ref="B4" location="'Performance Stats'!A1" display="Performance Analysis"/>
    <hyperlink ref="B6" location="'TD Planner'!A1" display="TD Planner"/>
    <hyperlink ref="B10" location="'Urgent Escalation'!A1" display="Urgent Escalation"/>
    <hyperlink ref="B14" location="'Existing Bonus File'!A1" display="Contact Review File"/>
    <hyperlink ref="B8" location="'Employee Management'!A1" display="Staff Record"/>
    <hyperlink ref="B12" location="PDP!A1" display="PDP"/>
    <hyperlink ref="B16" location="'Meeting Log'!A1" display="Meeting Log"/>
  </hyperlink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8">
        <x14:dataValidation type="list" allowBlank="1" showInputMessage="1" showErrorMessage="1">
          <x14:formula1>
            <xm:f>Staffs!$A:$A</xm:f>
          </x14:formula1>
          <xm:sqref>E8:E14</xm:sqref>
        </x14:dataValidation>
        <x14:dataValidation type="list" allowBlank="1" showInputMessage="1" showErrorMessage="1">
          <x14:formula1>
            <xm:f>Configuration!$L$1:$L$4</xm:f>
          </x14:formula1>
          <xm:sqref>H7</xm:sqref>
        </x14:dataValidation>
        <x14:dataValidation type="list" allowBlank="1" showInputMessage="1" showErrorMessage="1">
          <x14:formula1>
            <xm:f>Configuration!$A:$A</xm:f>
          </x14:formula1>
          <xm:sqref>I6</xm:sqref>
        </x14:dataValidation>
        <x14:dataValidation type="list" allowBlank="1" showInputMessage="1" showErrorMessage="1">
          <x14:formula1>
            <xm:f>Configuration!$P$1:$P$4</xm:f>
          </x14:formula1>
          <xm:sqref>K20</xm:sqref>
        </x14:dataValidation>
        <x14:dataValidation type="list" allowBlank="1" showInputMessage="1">
          <x14:formula1>
            <xm:f>Supervisor!$A:$A</xm:f>
          </x14:formula1>
          <xm:sqref>K5</xm:sqref>
        </x14:dataValidation>
        <x14:dataValidation type="list" allowBlank="1" showInputMessage="1">
          <x14:formula1>
            <xm:f>TeamLeader!$A:$A</xm:f>
          </x14:formula1>
          <xm:sqref>N5</xm:sqref>
        </x14:dataValidation>
        <x14:dataValidation type="list" allowBlank="1" showInputMessage="1" showErrorMessage="1">
          <x14:formula1>
            <xm:f>Supervisor!$G:$G</xm:f>
          </x14:formula1>
          <xm:sqref>N7</xm:sqref>
        </x14:dataValidation>
        <x14:dataValidation type="list" allowBlank="1" showInputMessage="1">
          <x14:formula1>
            <xm:f>Staffs!$A:$A</xm:f>
          </x14:formula1>
          <xm:sqref>H3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H764"/>
  <sheetViews>
    <sheetView workbookViewId="0">
      <selection activeCell="J21" sqref="J21"/>
    </sheetView>
  </sheetViews>
  <sheetFormatPr defaultRowHeight="12.75" x14ac:dyDescent="0.2"/>
  <cols>
    <col min="1" max="1" width="12" customWidth="1"/>
    <col min="6" max="6" width="12.5703125" customWidth="1"/>
    <col min="8" max="8" width="18.140625" bestFit="1" customWidth="1"/>
    <col min="9" max="9" width="10.140625" bestFit="1" customWidth="1"/>
    <col min="10" max="10" width="54.28515625" customWidth="1"/>
    <col min="12" max="12" width="11.7109375" bestFit="1" customWidth="1"/>
    <col min="19" max="19" width="59.28515625" bestFit="1" customWidth="1"/>
    <col min="21" max="21" width="59.28515625" bestFit="1" customWidth="1"/>
    <col min="23" max="23" width="19" bestFit="1" customWidth="1"/>
    <col min="24" max="24" width="78.7109375" bestFit="1" customWidth="1"/>
    <col min="25" max="25" width="10.140625" bestFit="1" customWidth="1"/>
    <col min="26" max="29" width="9.140625" style="11"/>
    <col min="33" max="33" width="9.140625" style="266"/>
    <col min="53" max="53" width="9.140625" style="339"/>
    <col min="54" max="54" width="38.5703125" style="339" customWidth="1"/>
    <col min="55" max="55" width="47.7109375" style="339" customWidth="1"/>
    <col min="56" max="56" width="31.28515625" style="339" customWidth="1"/>
    <col min="57" max="60" width="9.140625" style="339"/>
  </cols>
  <sheetData>
    <row r="1" spans="1:56" x14ac:dyDescent="0.2">
      <c r="A1" t="s">
        <v>6</v>
      </c>
      <c r="B1" t="s">
        <v>4</v>
      </c>
      <c r="C1" t="s">
        <v>5</v>
      </c>
      <c r="F1" s="18">
        <f>NewTDWeekDate</f>
        <v>0</v>
      </c>
      <c r="G1" t="s">
        <v>363</v>
      </c>
      <c r="H1" t="s">
        <v>378</v>
      </c>
      <c r="I1" s="18">
        <v>45537</v>
      </c>
      <c r="J1" t="s">
        <v>360</v>
      </c>
      <c r="K1" t="s">
        <v>632</v>
      </c>
      <c r="L1" t="s">
        <v>76</v>
      </c>
      <c r="M1" t="s">
        <v>129</v>
      </c>
      <c r="N1" t="s">
        <v>79</v>
      </c>
      <c r="P1" t="s">
        <v>131</v>
      </c>
      <c r="Q1" t="s">
        <v>163</v>
      </c>
      <c r="S1" t="s">
        <v>264</v>
      </c>
      <c r="T1" t="s">
        <v>271</v>
      </c>
      <c r="U1" t="str">
        <f>$S$1&amp;$T$1&amp;S2</f>
        <v>Contact Review + Formal Coaching Meeting</v>
      </c>
      <c r="W1" t="s">
        <v>406</v>
      </c>
      <c r="X1" t="s">
        <v>409</v>
      </c>
      <c r="Y1" s="18">
        <v>45383</v>
      </c>
      <c r="AA1" s="11" t="s">
        <v>395</v>
      </c>
      <c r="AB1" s="11" t="s">
        <v>394</v>
      </c>
      <c r="AC1" s="11" t="s">
        <v>396</v>
      </c>
      <c r="AE1" s="11" t="s">
        <v>452</v>
      </c>
      <c r="AG1" s="11" t="s">
        <v>163</v>
      </c>
      <c r="BD1" s="339" t="s">
        <v>642</v>
      </c>
    </row>
    <row r="2" spans="1:56" ht="13.5" customHeight="1" x14ac:dyDescent="0.2">
      <c r="A2" t="s">
        <v>65</v>
      </c>
      <c r="B2" s="13">
        <v>0.33333333333333331</v>
      </c>
      <c r="C2" s="13">
        <v>0.5</v>
      </c>
      <c r="F2" s="18">
        <f>F1+1</f>
        <v>1</v>
      </c>
      <c r="G2" t="s">
        <v>385</v>
      </c>
      <c r="H2" t="s">
        <v>608</v>
      </c>
      <c r="I2" s="18">
        <f>I1+7</f>
        <v>45544</v>
      </c>
      <c r="J2" t="s">
        <v>361</v>
      </c>
      <c r="K2" t="s">
        <v>394</v>
      </c>
      <c r="L2" t="s">
        <v>19</v>
      </c>
      <c r="M2" t="s">
        <v>335</v>
      </c>
      <c r="N2" t="s">
        <v>80</v>
      </c>
      <c r="P2" t="s">
        <v>122</v>
      </c>
      <c r="Q2" t="s">
        <v>130</v>
      </c>
      <c r="S2" t="s">
        <v>267</v>
      </c>
      <c r="U2" t="str">
        <f t="shared" ref="U2:U6" si="0">$S$1&amp;$T$1&amp;S3</f>
        <v>Contact Review + PDP Follow Up Meeting</v>
      </c>
      <c r="W2" t="s">
        <v>408</v>
      </c>
      <c r="X2" t="s">
        <v>413</v>
      </c>
      <c r="Y2">
        <v>1</v>
      </c>
      <c r="Z2" s="11" t="s">
        <v>415</v>
      </c>
      <c r="AA2" s="11">
        <v>3</v>
      </c>
      <c r="AB2" s="11">
        <v>3</v>
      </c>
      <c r="AC2" s="11">
        <v>4</v>
      </c>
      <c r="AE2" s="266" t="s">
        <v>453</v>
      </c>
      <c r="AG2" s="266" t="s">
        <v>130</v>
      </c>
      <c r="BA2" s="339" t="s">
        <v>631</v>
      </c>
      <c r="BB2" s="339" t="s">
        <v>634</v>
      </c>
      <c r="BC2" s="339" t="s">
        <v>644</v>
      </c>
      <c r="BD2" s="339" t="s">
        <v>641</v>
      </c>
    </row>
    <row r="3" spans="1:56" x14ac:dyDescent="0.2">
      <c r="A3" t="s">
        <v>66</v>
      </c>
      <c r="B3" s="13">
        <v>0.52083333333333337</v>
      </c>
      <c r="C3" s="13">
        <v>0.6875</v>
      </c>
      <c r="F3" s="18">
        <f t="shared" ref="F3:F7" si="1">F2+1</f>
        <v>2</v>
      </c>
      <c r="G3" t="s">
        <v>364</v>
      </c>
      <c r="H3" t="s">
        <v>364</v>
      </c>
      <c r="I3" s="18">
        <f t="shared" ref="I3:I66" si="2">I2+7</f>
        <v>45551</v>
      </c>
      <c r="K3" t="s">
        <v>396</v>
      </c>
      <c r="L3" t="s">
        <v>14</v>
      </c>
      <c r="P3" t="s">
        <v>132</v>
      </c>
      <c r="Q3" t="s">
        <v>127</v>
      </c>
      <c r="S3" t="s">
        <v>268</v>
      </c>
      <c r="U3" t="str">
        <f t="shared" si="0"/>
        <v>Contact Review + Banding Review Meeting</v>
      </c>
      <c r="W3" t="s">
        <v>364</v>
      </c>
      <c r="X3" t="s">
        <v>411</v>
      </c>
      <c r="Y3">
        <v>2024</v>
      </c>
      <c r="Z3" s="11" t="s">
        <v>417</v>
      </c>
      <c r="AA3" s="11">
        <v>3</v>
      </c>
      <c r="AB3" s="11">
        <v>4</v>
      </c>
      <c r="AC3" s="11">
        <v>3</v>
      </c>
      <c r="AG3" s="266" t="s">
        <v>127</v>
      </c>
      <c r="BC3" s="339" t="s">
        <v>633</v>
      </c>
      <c r="BD3" s="339" t="s">
        <v>643</v>
      </c>
    </row>
    <row r="4" spans="1:56" x14ac:dyDescent="0.2">
      <c r="A4" t="s">
        <v>67</v>
      </c>
      <c r="B4" s="13">
        <v>0.70833333333333337</v>
      </c>
      <c r="C4" s="13">
        <v>0.875</v>
      </c>
      <c r="F4" s="18">
        <f t="shared" si="1"/>
        <v>3</v>
      </c>
      <c r="G4" t="s">
        <v>378</v>
      </c>
      <c r="H4" t="s">
        <v>363</v>
      </c>
      <c r="I4" s="18">
        <f t="shared" si="2"/>
        <v>45558</v>
      </c>
      <c r="L4" t="s">
        <v>77</v>
      </c>
      <c r="P4" t="s">
        <v>133</v>
      </c>
      <c r="Q4" t="s">
        <v>164</v>
      </c>
      <c r="S4" t="s">
        <v>269</v>
      </c>
      <c r="U4" t="str">
        <f t="shared" si="0"/>
        <v>Contact Review + Other Meeting</v>
      </c>
      <c r="W4" t="s">
        <v>412</v>
      </c>
      <c r="X4" t="s">
        <v>414</v>
      </c>
      <c r="Z4" s="11" t="s">
        <v>418</v>
      </c>
      <c r="AA4" s="11">
        <v>4</v>
      </c>
      <c r="AB4" s="11">
        <v>3</v>
      </c>
      <c r="AC4" s="11">
        <v>3</v>
      </c>
      <c r="AG4" s="266" t="s">
        <v>164</v>
      </c>
    </row>
    <row r="5" spans="1:56" x14ac:dyDescent="0.2">
      <c r="F5" s="18">
        <f t="shared" si="1"/>
        <v>4</v>
      </c>
      <c r="H5" t="s">
        <v>609</v>
      </c>
      <c r="I5" s="18">
        <f t="shared" si="2"/>
        <v>45565</v>
      </c>
      <c r="S5" t="s">
        <v>270</v>
      </c>
      <c r="U5" t="str">
        <f t="shared" si="0"/>
        <v>Contact Review + Meeting Recording</v>
      </c>
      <c r="W5" t="s">
        <v>407</v>
      </c>
      <c r="X5" t="s">
        <v>410</v>
      </c>
    </row>
    <row r="6" spans="1:56" x14ac:dyDescent="0.2">
      <c r="F6" s="18">
        <f t="shared" si="1"/>
        <v>5</v>
      </c>
      <c r="H6" t="s">
        <v>596</v>
      </c>
      <c r="I6" s="18">
        <f t="shared" si="2"/>
        <v>45572</v>
      </c>
      <c r="S6" t="s">
        <v>265</v>
      </c>
      <c r="U6" t="str">
        <f t="shared" si="0"/>
        <v>Contact Review + Meeting Preparation</v>
      </c>
    </row>
    <row r="7" spans="1:56" x14ac:dyDescent="0.2">
      <c r="F7" s="18">
        <f t="shared" si="1"/>
        <v>6</v>
      </c>
      <c r="H7" t="s">
        <v>399</v>
      </c>
      <c r="I7" s="18">
        <f t="shared" si="2"/>
        <v>45579</v>
      </c>
      <c r="S7" t="s">
        <v>266</v>
      </c>
      <c r="U7" t="str">
        <f>$S$7&amp;$T$1&amp;S2</f>
        <v>Meeting Preparation + Formal Coaching Meeting</v>
      </c>
    </row>
    <row r="8" spans="1:56" x14ac:dyDescent="0.2">
      <c r="I8" s="18">
        <f t="shared" si="2"/>
        <v>45586</v>
      </c>
      <c r="S8" t="s">
        <v>272</v>
      </c>
      <c r="U8" t="str">
        <f t="shared" ref="U8:U9" si="3">$S$7&amp;$T$1&amp;S3</f>
        <v>Meeting Preparation + PDP Follow Up Meeting</v>
      </c>
    </row>
    <row r="9" spans="1:56" x14ac:dyDescent="0.2">
      <c r="I9" s="18">
        <f t="shared" si="2"/>
        <v>45593</v>
      </c>
      <c r="S9" t="s">
        <v>273</v>
      </c>
      <c r="U9" t="str">
        <f t="shared" si="3"/>
        <v>Meeting Preparation + Banding Review Meeting</v>
      </c>
    </row>
    <row r="10" spans="1:56" x14ac:dyDescent="0.2">
      <c r="I10" s="18">
        <f t="shared" si="2"/>
        <v>45600</v>
      </c>
      <c r="S10" t="s">
        <v>274</v>
      </c>
      <c r="U10" t="str">
        <f>S2&amp;$T$1&amp;$S$6</f>
        <v>Formal Coaching Meeting + Meeting Recording</v>
      </c>
    </row>
    <row r="11" spans="1:56" x14ac:dyDescent="0.2">
      <c r="I11" s="18">
        <f t="shared" si="2"/>
        <v>45607</v>
      </c>
      <c r="S11" t="s">
        <v>275</v>
      </c>
      <c r="U11" t="str">
        <f t="shared" ref="U11:U12" si="4">S3&amp;$T$1&amp;$S$6</f>
        <v>PDP Follow Up Meeting + Meeting Recording</v>
      </c>
    </row>
    <row r="12" spans="1:56" x14ac:dyDescent="0.2">
      <c r="I12" s="18">
        <f t="shared" si="2"/>
        <v>45614</v>
      </c>
      <c r="S12" t="s">
        <v>276</v>
      </c>
      <c r="U12" t="str">
        <f t="shared" si="4"/>
        <v>Banding Review Meeting + Meeting Recording</v>
      </c>
    </row>
    <row r="13" spans="1:56" x14ac:dyDescent="0.2">
      <c r="I13" s="18">
        <f t="shared" si="2"/>
        <v>45621</v>
      </c>
      <c r="S13" t="s">
        <v>277</v>
      </c>
      <c r="U13" t="str">
        <f>U7&amp;$T$1&amp;$S$6</f>
        <v>Meeting Preparation + Formal Coaching Meeting + Meeting Recording</v>
      </c>
    </row>
    <row r="14" spans="1:56" x14ac:dyDescent="0.2">
      <c r="I14" s="18">
        <f t="shared" si="2"/>
        <v>45628</v>
      </c>
      <c r="S14" t="s">
        <v>278</v>
      </c>
      <c r="U14" t="str">
        <f t="shared" ref="U14:U15" si="5">U8&amp;$T$1&amp;$S$6</f>
        <v>Meeting Preparation + PDP Follow Up Meeting + Meeting Recording</v>
      </c>
    </row>
    <row r="15" spans="1:56" x14ac:dyDescent="0.2">
      <c r="I15" s="18">
        <f t="shared" si="2"/>
        <v>45635</v>
      </c>
      <c r="S15" t="s">
        <v>279</v>
      </c>
      <c r="U15" t="str">
        <f t="shared" si="5"/>
        <v>Meeting Preparation + Banding Review Meeting + Meeting Recording</v>
      </c>
    </row>
    <row r="16" spans="1:56" x14ac:dyDescent="0.2">
      <c r="I16" s="18">
        <f t="shared" si="2"/>
        <v>45642</v>
      </c>
      <c r="S16" t="s">
        <v>280</v>
      </c>
    </row>
    <row r="17" spans="9:19" x14ac:dyDescent="0.2">
      <c r="I17" s="18">
        <f t="shared" si="2"/>
        <v>45649</v>
      </c>
      <c r="S17" t="s">
        <v>281</v>
      </c>
    </row>
    <row r="18" spans="9:19" x14ac:dyDescent="0.2">
      <c r="I18" s="18">
        <f t="shared" si="2"/>
        <v>45656</v>
      </c>
      <c r="S18" t="s">
        <v>282</v>
      </c>
    </row>
    <row r="19" spans="9:19" x14ac:dyDescent="0.2">
      <c r="I19" s="18">
        <f t="shared" si="2"/>
        <v>45663</v>
      </c>
      <c r="S19" t="s">
        <v>283</v>
      </c>
    </row>
    <row r="20" spans="9:19" x14ac:dyDescent="0.2">
      <c r="I20" s="18">
        <f t="shared" si="2"/>
        <v>45670</v>
      </c>
      <c r="S20" t="s">
        <v>284</v>
      </c>
    </row>
    <row r="21" spans="9:19" x14ac:dyDescent="0.2">
      <c r="I21" s="18">
        <f t="shared" si="2"/>
        <v>45677</v>
      </c>
      <c r="S21" t="s">
        <v>285</v>
      </c>
    </row>
    <row r="22" spans="9:19" x14ac:dyDescent="0.2">
      <c r="I22" s="18">
        <f t="shared" si="2"/>
        <v>45684</v>
      </c>
      <c r="S22" t="s">
        <v>286</v>
      </c>
    </row>
    <row r="23" spans="9:19" x14ac:dyDescent="0.2">
      <c r="I23" s="18">
        <f t="shared" si="2"/>
        <v>45691</v>
      </c>
    </row>
    <row r="24" spans="9:19" x14ac:dyDescent="0.2">
      <c r="I24" s="18">
        <f t="shared" si="2"/>
        <v>45698</v>
      </c>
    </row>
    <row r="25" spans="9:19" x14ac:dyDescent="0.2">
      <c r="I25" s="18">
        <f t="shared" si="2"/>
        <v>45705</v>
      </c>
    </row>
    <row r="26" spans="9:19" x14ac:dyDescent="0.2">
      <c r="I26" s="18">
        <f t="shared" si="2"/>
        <v>45712</v>
      </c>
    </row>
    <row r="27" spans="9:19" x14ac:dyDescent="0.2">
      <c r="I27" s="18">
        <f t="shared" si="2"/>
        <v>45719</v>
      </c>
    </row>
    <row r="28" spans="9:19" x14ac:dyDescent="0.2">
      <c r="I28" s="18">
        <f t="shared" si="2"/>
        <v>45726</v>
      </c>
    </row>
    <row r="29" spans="9:19" x14ac:dyDescent="0.2">
      <c r="I29" s="18">
        <f t="shared" si="2"/>
        <v>45733</v>
      </c>
    </row>
    <row r="30" spans="9:19" x14ac:dyDescent="0.2">
      <c r="I30" s="18">
        <f t="shared" si="2"/>
        <v>45740</v>
      </c>
    </row>
    <row r="31" spans="9:19" x14ac:dyDescent="0.2">
      <c r="I31" s="18">
        <f t="shared" si="2"/>
        <v>45747</v>
      </c>
    </row>
    <row r="32" spans="9:19" x14ac:dyDescent="0.2">
      <c r="I32" s="18">
        <f t="shared" si="2"/>
        <v>45754</v>
      </c>
    </row>
    <row r="33" spans="9:9" x14ac:dyDescent="0.2">
      <c r="I33" s="18">
        <f t="shared" si="2"/>
        <v>45761</v>
      </c>
    </row>
    <row r="34" spans="9:9" x14ac:dyDescent="0.2">
      <c r="I34" s="18">
        <f t="shared" si="2"/>
        <v>45768</v>
      </c>
    </row>
    <row r="35" spans="9:9" x14ac:dyDescent="0.2">
      <c r="I35" s="18">
        <f t="shared" si="2"/>
        <v>45775</v>
      </c>
    </row>
    <row r="36" spans="9:9" x14ac:dyDescent="0.2">
      <c r="I36" s="18">
        <f t="shared" si="2"/>
        <v>45782</v>
      </c>
    </row>
    <row r="37" spans="9:9" x14ac:dyDescent="0.2">
      <c r="I37" s="18">
        <f t="shared" si="2"/>
        <v>45789</v>
      </c>
    </row>
    <row r="38" spans="9:9" x14ac:dyDescent="0.2">
      <c r="I38" s="18">
        <f t="shared" si="2"/>
        <v>45796</v>
      </c>
    </row>
    <row r="39" spans="9:9" x14ac:dyDescent="0.2">
      <c r="I39" s="18">
        <f t="shared" si="2"/>
        <v>45803</v>
      </c>
    </row>
    <row r="40" spans="9:9" x14ac:dyDescent="0.2">
      <c r="I40" s="18">
        <f t="shared" si="2"/>
        <v>45810</v>
      </c>
    </row>
    <row r="41" spans="9:9" x14ac:dyDescent="0.2">
      <c r="I41" s="18">
        <f t="shared" si="2"/>
        <v>45817</v>
      </c>
    </row>
    <row r="42" spans="9:9" x14ac:dyDescent="0.2">
      <c r="I42" s="18">
        <f t="shared" si="2"/>
        <v>45824</v>
      </c>
    </row>
    <row r="43" spans="9:9" x14ac:dyDescent="0.2">
      <c r="I43" s="18">
        <f t="shared" si="2"/>
        <v>45831</v>
      </c>
    </row>
    <row r="44" spans="9:9" x14ac:dyDescent="0.2">
      <c r="I44" s="18">
        <f t="shared" si="2"/>
        <v>45838</v>
      </c>
    </row>
    <row r="45" spans="9:9" x14ac:dyDescent="0.2">
      <c r="I45" s="18">
        <f t="shared" si="2"/>
        <v>45845</v>
      </c>
    </row>
    <row r="46" spans="9:9" x14ac:dyDescent="0.2">
      <c r="I46" s="18">
        <f t="shared" si="2"/>
        <v>45852</v>
      </c>
    </row>
    <row r="47" spans="9:9" x14ac:dyDescent="0.2">
      <c r="I47" s="18">
        <f t="shared" si="2"/>
        <v>45859</v>
      </c>
    </row>
    <row r="48" spans="9:9" x14ac:dyDescent="0.2">
      <c r="I48" s="18">
        <f t="shared" si="2"/>
        <v>45866</v>
      </c>
    </row>
    <row r="49" spans="9:9" x14ac:dyDescent="0.2">
      <c r="I49" s="18">
        <f t="shared" si="2"/>
        <v>45873</v>
      </c>
    </row>
    <row r="50" spans="9:9" x14ac:dyDescent="0.2">
      <c r="I50" s="18">
        <f t="shared" si="2"/>
        <v>45880</v>
      </c>
    </row>
    <row r="51" spans="9:9" x14ac:dyDescent="0.2">
      <c r="I51" s="18">
        <f t="shared" si="2"/>
        <v>45887</v>
      </c>
    </row>
    <row r="52" spans="9:9" x14ac:dyDescent="0.2">
      <c r="I52" s="18">
        <f t="shared" si="2"/>
        <v>45894</v>
      </c>
    </row>
    <row r="53" spans="9:9" x14ac:dyDescent="0.2">
      <c r="I53" s="18">
        <f t="shared" si="2"/>
        <v>45901</v>
      </c>
    </row>
    <row r="54" spans="9:9" x14ac:dyDescent="0.2">
      <c r="I54" s="18">
        <f t="shared" si="2"/>
        <v>45908</v>
      </c>
    </row>
    <row r="55" spans="9:9" x14ac:dyDescent="0.2">
      <c r="I55" s="18">
        <f t="shared" si="2"/>
        <v>45915</v>
      </c>
    </row>
    <row r="56" spans="9:9" x14ac:dyDescent="0.2">
      <c r="I56" s="18">
        <f t="shared" si="2"/>
        <v>45922</v>
      </c>
    </row>
    <row r="57" spans="9:9" x14ac:dyDescent="0.2">
      <c r="I57" s="18">
        <f t="shared" si="2"/>
        <v>45929</v>
      </c>
    </row>
    <row r="58" spans="9:9" x14ac:dyDescent="0.2">
      <c r="I58" s="18">
        <f t="shared" si="2"/>
        <v>45936</v>
      </c>
    </row>
    <row r="59" spans="9:9" x14ac:dyDescent="0.2">
      <c r="I59" s="18">
        <f t="shared" si="2"/>
        <v>45943</v>
      </c>
    </row>
    <row r="60" spans="9:9" x14ac:dyDescent="0.2">
      <c r="I60" s="18">
        <f t="shared" si="2"/>
        <v>45950</v>
      </c>
    </row>
    <row r="61" spans="9:9" x14ac:dyDescent="0.2">
      <c r="I61" s="18">
        <f t="shared" si="2"/>
        <v>45957</v>
      </c>
    </row>
    <row r="62" spans="9:9" x14ac:dyDescent="0.2">
      <c r="I62" s="18">
        <f t="shared" si="2"/>
        <v>45964</v>
      </c>
    </row>
    <row r="63" spans="9:9" x14ac:dyDescent="0.2">
      <c r="I63" s="18">
        <f t="shared" si="2"/>
        <v>45971</v>
      </c>
    </row>
    <row r="64" spans="9:9" x14ac:dyDescent="0.2">
      <c r="I64" s="18">
        <f t="shared" si="2"/>
        <v>45978</v>
      </c>
    </row>
    <row r="65" spans="9:9" x14ac:dyDescent="0.2">
      <c r="I65" s="18">
        <f t="shared" si="2"/>
        <v>45985</v>
      </c>
    </row>
    <row r="66" spans="9:9" x14ac:dyDescent="0.2">
      <c r="I66" s="18">
        <f t="shared" si="2"/>
        <v>45992</v>
      </c>
    </row>
    <row r="67" spans="9:9" x14ac:dyDescent="0.2">
      <c r="I67" s="18">
        <f t="shared" ref="I67:I130" si="6">I66+7</f>
        <v>45999</v>
      </c>
    </row>
    <row r="68" spans="9:9" x14ac:dyDescent="0.2">
      <c r="I68" s="18">
        <f t="shared" si="6"/>
        <v>46006</v>
      </c>
    </row>
    <row r="69" spans="9:9" x14ac:dyDescent="0.2">
      <c r="I69" s="18">
        <f t="shared" si="6"/>
        <v>46013</v>
      </c>
    </row>
    <row r="70" spans="9:9" x14ac:dyDescent="0.2">
      <c r="I70" s="18">
        <f t="shared" si="6"/>
        <v>46020</v>
      </c>
    </row>
    <row r="71" spans="9:9" x14ac:dyDescent="0.2">
      <c r="I71" s="18">
        <f t="shared" si="6"/>
        <v>46027</v>
      </c>
    </row>
    <row r="72" spans="9:9" x14ac:dyDescent="0.2">
      <c r="I72" s="18">
        <f t="shared" si="6"/>
        <v>46034</v>
      </c>
    </row>
    <row r="73" spans="9:9" x14ac:dyDescent="0.2">
      <c r="I73" s="18">
        <f t="shared" si="6"/>
        <v>46041</v>
      </c>
    </row>
    <row r="74" spans="9:9" x14ac:dyDescent="0.2">
      <c r="I74" s="18">
        <f t="shared" si="6"/>
        <v>46048</v>
      </c>
    </row>
    <row r="75" spans="9:9" x14ac:dyDescent="0.2">
      <c r="I75" s="18">
        <f t="shared" si="6"/>
        <v>46055</v>
      </c>
    </row>
    <row r="76" spans="9:9" x14ac:dyDescent="0.2">
      <c r="I76" s="18">
        <f t="shared" si="6"/>
        <v>46062</v>
      </c>
    </row>
    <row r="77" spans="9:9" x14ac:dyDescent="0.2">
      <c r="I77" s="18">
        <f t="shared" si="6"/>
        <v>46069</v>
      </c>
    </row>
    <row r="78" spans="9:9" x14ac:dyDescent="0.2">
      <c r="I78" s="18">
        <f t="shared" si="6"/>
        <v>46076</v>
      </c>
    </row>
    <row r="79" spans="9:9" x14ac:dyDescent="0.2">
      <c r="I79" s="18">
        <f t="shared" si="6"/>
        <v>46083</v>
      </c>
    </row>
    <row r="80" spans="9:9" x14ac:dyDescent="0.2">
      <c r="I80" s="18">
        <f t="shared" si="6"/>
        <v>46090</v>
      </c>
    </row>
    <row r="81" spans="9:9" x14ac:dyDescent="0.2">
      <c r="I81" s="18">
        <f t="shared" si="6"/>
        <v>46097</v>
      </c>
    </row>
    <row r="82" spans="9:9" x14ac:dyDescent="0.2">
      <c r="I82" s="18">
        <f t="shared" si="6"/>
        <v>46104</v>
      </c>
    </row>
    <row r="83" spans="9:9" x14ac:dyDescent="0.2">
      <c r="I83" s="18">
        <f t="shared" si="6"/>
        <v>46111</v>
      </c>
    </row>
    <row r="84" spans="9:9" x14ac:dyDescent="0.2">
      <c r="I84" s="18">
        <f t="shared" si="6"/>
        <v>46118</v>
      </c>
    </row>
    <row r="85" spans="9:9" x14ac:dyDescent="0.2">
      <c r="I85" s="18">
        <f t="shared" si="6"/>
        <v>46125</v>
      </c>
    </row>
    <row r="86" spans="9:9" x14ac:dyDescent="0.2">
      <c r="I86" s="18">
        <f t="shared" si="6"/>
        <v>46132</v>
      </c>
    </row>
    <row r="87" spans="9:9" x14ac:dyDescent="0.2">
      <c r="I87" s="18">
        <f t="shared" si="6"/>
        <v>46139</v>
      </c>
    </row>
    <row r="88" spans="9:9" x14ac:dyDescent="0.2">
      <c r="I88" s="18">
        <f t="shared" si="6"/>
        <v>46146</v>
      </c>
    </row>
    <row r="89" spans="9:9" x14ac:dyDescent="0.2">
      <c r="I89" s="18">
        <f t="shared" si="6"/>
        <v>46153</v>
      </c>
    </row>
    <row r="90" spans="9:9" x14ac:dyDescent="0.2">
      <c r="I90" s="18">
        <f t="shared" si="6"/>
        <v>46160</v>
      </c>
    </row>
    <row r="91" spans="9:9" x14ac:dyDescent="0.2">
      <c r="I91" s="18">
        <f t="shared" si="6"/>
        <v>46167</v>
      </c>
    </row>
    <row r="92" spans="9:9" x14ac:dyDescent="0.2">
      <c r="I92" s="18">
        <f t="shared" si="6"/>
        <v>46174</v>
      </c>
    </row>
    <row r="93" spans="9:9" x14ac:dyDescent="0.2">
      <c r="I93" s="18">
        <f t="shared" si="6"/>
        <v>46181</v>
      </c>
    </row>
    <row r="94" spans="9:9" x14ac:dyDescent="0.2">
      <c r="I94" s="18">
        <f t="shared" si="6"/>
        <v>46188</v>
      </c>
    </row>
    <row r="95" spans="9:9" x14ac:dyDescent="0.2">
      <c r="I95" s="18">
        <f t="shared" si="6"/>
        <v>46195</v>
      </c>
    </row>
    <row r="96" spans="9:9" x14ac:dyDescent="0.2">
      <c r="I96" s="18">
        <f t="shared" si="6"/>
        <v>46202</v>
      </c>
    </row>
    <row r="97" spans="9:9" x14ac:dyDescent="0.2">
      <c r="I97" s="18">
        <f t="shared" si="6"/>
        <v>46209</v>
      </c>
    </row>
    <row r="98" spans="9:9" x14ac:dyDescent="0.2">
      <c r="I98" s="18">
        <f t="shared" si="6"/>
        <v>46216</v>
      </c>
    </row>
    <row r="99" spans="9:9" x14ac:dyDescent="0.2">
      <c r="I99" s="18">
        <f t="shared" si="6"/>
        <v>46223</v>
      </c>
    </row>
    <row r="100" spans="9:9" x14ac:dyDescent="0.2">
      <c r="I100" s="18">
        <f t="shared" si="6"/>
        <v>46230</v>
      </c>
    </row>
    <row r="101" spans="9:9" x14ac:dyDescent="0.2">
      <c r="I101" s="18">
        <f t="shared" si="6"/>
        <v>46237</v>
      </c>
    </row>
    <row r="102" spans="9:9" x14ac:dyDescent="0.2">
      <c r="I102" s="18">
        <f t="shared" si="6"/>
        <v>46244</v>
      </c>
    </row>
    <row r="103" spans="9:9" x14ac:dyDescent="0.2">
      <c r="I103" s="18">
        <f t="shared" si="6"/>
        <v>46251</v>
      </c>
    </row>
    <row r="104" spans="9:9" x14ac:dyDescent="0.2">
      <c r="I104" s="18">
        <f t="shared" si="6"/>
        <v>46258</v>
      </c>
    </row>
    <row r="105" spans="9:9" x14ac:dyDescent="0.2">
      <c r="I105" s="18">
        <f t="shared" si="6"/>
        <v>46265</v>
      </c>
    </row>
    <row r="106" spans="9:9" x14ac:dyDescent="0.2">
      <c r="I106" s="18">
        <f t="shared" si="6"/>
        <v>46272</v>
      </c>
    </row>
    <row r="107" spans="9:9" x14ac:dyDescent="0.2">
      <c r="I107" s="18">
        <f t="shared" si="6"/>
        <v>46279</v>
      </c>
    </row>
    <row r="108" spans="9:9" x14ac:dyDescent="0.2">
      <c r="I108" s="18">
        <f t="shared" si="6"/>
        <v>46286</v>
      </c>
    </row>
    <row r="109" spans="9:9" x14ac:dyDescent="0.2">
      <c r="I109" s="18">
        <f t="shared" si="6"/>
        <v>46293</v>
      </c>
    </row>
    <row r="110" spans="9:9" x14ac:dyDescent="0.2">
      <c r="I110" s="18">
        <f t="shared" si="6"/>
        <v>46300</v>
      </c>
    </row>
    <row r="111" spans="9:9" x14ac:dyDescent="0.2">
      <c r="I111" s="18">
        <f t="shared" si="6"/>
        <v>46307</v>
      </c>
    </row>
    <row r="112" spans="9:9" x14ac:dyDescent="0.2">
      <c r="I112" s="18">
        <f t="shared" si="6"/>
        <v>46314</v>
      </c>
    </row>
    <row r="113" spans="9:9" x14ac:dyDescent="0.2">
      <c r="I113" s="18">
        <f t="shared" si="6"/>
        <v>46321</v>
      </c>
    </row>
    <row r="114" spans="9:9" x14ac:dyDescent="0.2">
      <c r="I114" s="18">
        <f t="shared" si="6"/>
        <v>46328</v>
      </c>
    </row>
    <row r="115" spans="9:9" x14ac:dyDescent="0.2">
      <c r="I115" s="18">
        <f t="shared" si="6"/>
        <v>46335</v>
      </c>
    </row>
    <row r="116" spans="9:9" x14ac:dyDescent="0.2">
      <c r="I116" s="18">
        <f t="shared" si="6"/>
        <v>46342</v>
      </c>
    </row>
    <row r="117" spans="9:9" x14ac:dyDescent="0.2">
      <c r="I117" s="18">
        <f t="shared" si="6"/>
        <v>46349</v>
      </c>
    </row>
    <row r="118" spans="9:9" x14ac:dyDescent="0.2">
      <c r="I118" s="18">
        <f t="shared" si="6"/>
        <v>46356</v>
      </c>
    </row>
    <row r="119" spans="9:9" x14ac:dyDescent="0.2">
      <c r="I119" s="18">
        <f t="shared" si="6"/>
        <v>46363</v>
      </c>
    </row>
    <row r="120" spans="9:9" x14ac:dyDescent="0.2">
      <c r="I120" s="18">
        <f t="shared" si="6"/>
        <v>46370</v>
      </c>
    </row>
    <row r="121" spans="9:9" x14ac:dyDescent="0.2">
      <c r="I121" s="18">
        <f t="shared" si="6"/>
        <v>46377</v>
      </c>
    </row>
    <row r="122" spans="9:9" x14ac:dyDescent="0.2">
      <c r="I122" s="18">
        <f t="shared" si="6"/>
        <v>46384</v>
      </c>
    </row>
    <row r="123" spans="9:9" x14ac:dyDescent="0.2">
      <c r="I123" s="18">
        <f t="shared" si="6"/>
        <v>46391</v>
      </c>
    </row>
    <row r="124" spans="9:9" x14ac:dyDescent="0.2">
      <c r="I124" s="18">
        <f t="shared" si="6"/>
        <v>46398</v>
      </c>
    </row>
    <row r="125" spans="9:9" x14ac:dyDescent="0.2">
      <c r="I125" s="18">
        <f t="shared" si="6"/>
        <v>46405</v>
      </c>
    </row>
    <row r="126" spans="9:9" x14ac:dyDescent="0.2">
      <c r="I126" s="18">
        <f t="shared" si="6"/>
        <v>46412</v>
      </c>
    </row>
    <row r="127" spans="9:9" x14ac:dyDescent="0.2">
      <c r="I127" s="18">
        <f t="shared" si="6"/>
        <v>46419</v>
      </c>
    </row>
    <row r="128" spans="9:9" x14ac:dyDescent="0.2">
      <c r="I128" s="18">
        <f t="shared" si="6"/>
        <v>46426</v>
      </c>
    </row>
    <row r="129" spans="9:9" x14ac:dyDescent="0.2">
      <c r="I129" s="18">
        <f t="shared" si="6"/>
        <v>46433</v>
      </c>
    </row>
    <row r="130" spans="9:9" x14ac:dyDescent="0.2">
      <c r="I130" s="18">
        <f t="shared" si="6"/>
        <v>46440</v>
      </c>
    </row>
    <row r="131" spans="9:9" x14ac:dyDescent="0.2">
      <c r="I131" s="18">
        <f t="shared" ref="I131:I194" si="7">I130+7</f>
        <v>46447</v>
      </c>
    </row>
    <row r="132" spans="9:9" x14ac:dyDescent="0.2">
      <c r="I132" s="18">
        <f t="shared" si="7"/>
        <v>46454</v>
      </c>
    </row>
    <row r="133" spans="9:9" x14ac:dyDescent="0.2">
      <c r="I133" s="18">
        <f t="shared" si="7"/>
        <v>46461</v>
      </c>
    </row>
    <row r="134" spans="9:9" x14ac:dyDescent="0.2">
      <c r="I134" s="18">
        <f t="shared" si="7"/>
        <v>46468</v>
      </c>
    </row>
    <row r="135" spans="9:9" x14ac:dyDescent="0.2">
      <c r="I135" s="18">
        <f t="shared" si="7"/>
        <v>46475</v>
      </c>
    </row>
    <row r="136" spans="9:9" x14ac:dyDescent="0.2">
      <c r="I136" s="18">
        <f t="shared" si="7"/>
        <v>46482</v>
      </c>
    </row>
    <row r="137" spans="9:9" x14ac:dyDescent="0.2">
      <c r="I137" s="18">
        <f t="shared" si="7"/>
        <v>46489</v>
      </c>
    </row>
    <row r="138" spans="9:9" x14ac:dyDescent="0.2">
      <c r="I138" s="18">
        <f t="shared" si="7"/>
        <v>46496</v>
      </c>
    </row>
    <row r="139" spans="9:9" x14ac:dyDescent="0.2">
      <c r="I139" s="18">
        <f t="shared" si="7"/>
        <v>46503</v>
      </c>
    </row>
    <row r="140" spans="9:9" x14ac:dyDescent="0.2">
      <c r="I140" s="18">
        <f t="shared" si="7"/>
        <v>46510</v>
      </c>
    </row>
    <row r="141" spans="9:9" x14ac:dyDescent="0.2">
      <c r="I141" s="18">
        <f t="shared" si="7"/>
        <v>46517</v>
      </c>
    </row>
    <row r="142" spans="9:9" x14ac:dyDescent="0.2">
      <c r="I142" s="18">
        <f t="shared" si="7"/>
        <v>46524</v>
      </c>
    </row>
    <row r="143" spans="9:9" x14ac:dyDescent="0.2">
      <c r="I143" s="18">
        <f t="shared" si="7"/>
        <v>46531</v>
      </c>
    </row>
    <row r="144" spans="9:9" x14ac:dyDescent="0.2">
      <c r="I144" s="18">
        <f t="shared" si="7"/>
        <v>46538</v>
      </c>
    </row>
    <row r="145" spans="9:9" x14ac:dyDescent="0.2">
      <c r="I145" s="18">
        <f t="shared" si="7"/>
        <v>46545</v>
      </c>
    </row>
    <row r="146" spans="9:9" x14ac:dyDescent="0.2">
      <c r="I146" s="18">
        <f t="shared" si="7"/>
        <v>46552</v>
      </c>
    </row>
    <row r="147" spans="9:9" x14ac:dyDescent="0.2">
      <c r="I147" s="18">
        <f t="shared" si="7"/>
        <v>46559</v>
      </c>
    </row>
    <row r="148" spans="9:9" x14ac:dyDescent="0.2">
      <c r="I148" s="18">
        <f t="shared" si="7"/>
        <v>46566</v>
      </c>
    </row>
    <row r="149" spans="9:9" x14ac:dyDescent="0.2">
      <c r="I149" s="18">
        <f t="shared" si="7"/>
        <v>46573</v>
      </c>
    </row>
    <row r="150" spans="9:9" x14ac:dyDescent="0.2">
      <c r="I150" s="18">
        <f t="shared" si="7"/>
        <v>46580</v>
      </c>
    </row>
    <row r="151" spans="9:9" x14ac:dyDescent="0.2">
      <c r="I151" s="18">
        <f t="shared" si="7"/>
        <v>46587</v>
      </c>
    </row>
    <row r="152" spans="9:9" x14ac:dyDescent="0.2">
      <c r="I152" s="18">
        <f t="shared" si="7"/>
        <v>46594</v>
      </c>
    </row>
    <row r="153" spans="9:9" x14ac:dyDescent="0.2">
      <c r="I153" s="18">
        <f t="shared" si="7"/>
        <v>46601</v>
      </c>
    </row>
    <row r="154" spans="9:9" x14ac:dyDescent="0.2">
      <c r="I154" s="18">
        <f t="shared" si="7"/>
        <v>46608</v>
      </c>
    </row>
    <row r="155" spans="9:9" x14ac:dyDescent="0.2">
      <c r="I155" s="18">
        <f t="shared" si="7"/>
        <v>46615</v>
      </c>
    </row>
    <row r="156" spans="9:9" x14ac:dyDescent="0.2">
      <c r="I156" s="18">
        <f t="shared" si="7"/>
        <v>46622</v>
      </c>
    </row>
    <row r="157" spans="9:9" x14ac:dyDescent="0.2">
      <c r="I157" s="18">
        <f t="shared" si="7"/>
        <v>46629</v>
      </c>
    </row>
    <row r="158" spans="9:9" x14ac:dyDescent="0.2">
      <c r="I158" s="18">
        <f t="shared" si="7"/>
        <v>46636</v>
      </c>
    </row>
    <row r="159" spans="9:9" x14ac:dyDescent="0.2">
      <c r="I159" s="18">
        <f t="shared" si="7"/>
        <v>46643</v>
      </c>
    </row>
    <row r="160" spans="9:9" x14ac:dyDescent="0.2">
      <c r="I160" s="18">
        <f t="shared" si="7"/>
        <v>46650</v>
      </c>
    </row>
    <row r="161" spans="9:9" x14ac:dyDescent="0.2">
      <c r="I161" s="18">
        <f t="shared" si="7"/>
        <v>46657</v>
      </c>
    </row>
    <row r="162" spans="9:9" x14ac:dyDescent="0.2">
      <c r="I162" s="18">
        <f t="shared" si="7"/>
        <v>46664</v>
      </c>
    </row>
    <row r="163" spans="9:9" x14ac:dyDescent="0.2">
      <c r="I163" s="18">
        <f t="shared" si="7"/>
        <v>46671</v>
      </c>
    </row>
    <row r="164" spans="9:9" x14ac:dyDescent="0.2">
      <c r="I164" s="18">
        <f t="shared" si="7"/>
        <v>46678</v>
      </c>
    </row>
    <row r="165" spans="9:9" x14ac:dyDescent="0.2">
      <c r="I165" s="18">
        <f t="shared" si="7"/>
        <v>46685</v>
      </c>
    </row>
    <row r="166" spans="9:9" x14ac:dyDescent="0.2">
      <c r="I166" s="18">
        <f t="shared" si="7"/>
        <v>46692</v>
      </c>
    </row>
    <row r="167" spans="9:9" x14ac:dyDescent="0.2">
      <c r="I167" s="18">
        <f t="shared" si="7"/>
        <v>46699</v>
      </c>
    </row>
    <row r="168" spans="9:9" x14ac:dyDescent="0.2">
      <c r="I168" s="18">
        <f t="shared" si="7"/>
        <v>46706</v>
      </c>
    </row>
    <row r="169" spans="9:9" x14ac:dyDescent="0.2">
      <c r="I169" s="18">
        <f t="shared" si="7"/>
        <v>46713</v>
      </c>
    </row>
    <row r="170" spans="9:9" x14ac:dyDescent="0.2">
      <c r="I170" s="18">
        <f t="shared" si="7"/>
        <v>46720</v>
      </c>
    </row>
    <row r="171" spans="9:9" x14ac:dyDescent="0.2">
      <c r="I171" s="18">
        <f t="shared" si="7"/>
        <v>46727</v>
      </c>
    </row>
    <row r="172" spans="9:9" x14ac:dyDescent="0.2">
      <c r="I172" s="18">
        <f t="shared" si="7"/>
        <v>46734</v>
      </c>
    </row>
    <row r="173" spans="9:9" x14ac:dyDescent="0.2">
      <c r="I173" s="18">
        <f t="shared" si="7"/>
        <v>46741</v>
      </c>
    </row>
    <row r="174" spans="9:9" x14ac:dyDescent="0.2">
      <c r="I174" s="18">
        <f t="shared" si="7"/>
        <v>46748</v>
      </c>
    </row>
    <row r="175" spans="9:9" x14ac:dyDescent="0.2">
      <c r="I175" s="18">
        <f t="shared" si="7"/>
        <v>46755</v>
      </c>
    </row>
    <row r="176" spans="9:9" x14ac:dyDescent="0.2">
      <c r="I176" s="18">
        <f t="shared" si="7"/>
        <v>46762</v>
      </c>
    </row>
    <row r="177" spans="9:9" x14ac:dyDescent="0.2">
      <c r="I177" s="18">
        <f t="shared" si="7"/>
        <v>46769</v>
      </c>
    </row>
    <row r="178" spans="9:9" x14ac:dyDescent="0.2">
      <c r="I178" s="18">
        <f t="shared" si="7"/>
        <v>46776</v>
      </c>
    </row>
    <row r="179" spans="9:9" x14ac:dyDescent="0.2">
      <c r="I179" s="18">
        <f t="shared" si="7"/>
        <v>46783</v>
      </c>
    </row>
    <row r="180" spans="9:9" x14ac:dyDescent="0.2">
      <c r="I180" s="18">
        <f t="shared" si="7"/>
        <v>46790</v>
      </c>
    </row>
    <row r="181" spans="9:9" x14ac:dyDescent="0.2">
      <c r="I181" s="18">
        <f t="shared" si="7"/>
        <v>46797</v>
      </c>
    </row>
    <row r="182" spans="9:9" x14ac:dyDescent="0.2">
      <c r="I182" s="18">
        <f t="shared" si="7"/>
        <v>46804</v>
      </c>
    </row>
    <row r="183" spans="9:9" x14ac:dyDescent="0.2">
      <c r="I183" s="18">
        <f t="shared" si="7"/>
        <v>46811</v>
      </c>
    </row>
    <row r="184" spans="9:9" x14ac:dyDescent="0.2">
      <c r="I184" s="18">
        <f t="shared" si="7"/>
        <v>46818</v>
      </c>
    </row>
    <row r="185" spans="9:9" x14ac:dyDescent="0.2">
      <c r="I185" s="18">
        <f t="shared" si="7"/>
        <v>46825</v>
      </c>
    </row>
    <row r="186" spans="9:9" x14ac:dyDescent="0.2">
      <c r="I186" s="18">
        <f t="shared" si="7"/>
        <v>46832</v>
      </c>
    </row>
    <row r="187" spans="9:9" x14ac:dyDescent="0.2">
      <c r="I187" s="18">
        <f t="shared" si="7"/>
        <v>46839</v>
      </c>
    </row>
    <row r="188" spans="9:9" x14ac:dyDescent="0.2">
      <c r="I188" s="18">
        <f t="shared" si="7"/>
        <v>46846</v>
      </c>
    </row>
    <row r="189" spans="9:9" x14ac:dyDescent="0.2">
      <c r="I189" s="18">
        <f t="shared" si="7"/>
        <v>46853</v>
      </c>
    </row>
    <row r="190" spans="9:9" x14ac:dyDescent="0.2">
      <c r="I190" s="18">
        <f t="shared" si="7"/>
        <v>46860</v>
      </c>
    </row>
    <row r="191" spans="9:9" x14ac:dyDescent="0.2">
      <c r="I191" s="18">
        <f t="shared" si="7"/>
        <v>46867</v>
      </c>
    </row>
    <row r="192" spans="9:9" x14ac:dyDescent="0.2">
      <c r="I192" s="18">
        <f t="shared" si="7"/>
        <v>46874</v>
      </c>
    </row>
    <row r="193" spans="9:9" x14ac:dyDescent="0.2">
      <c r="I193" s="18">
        <f t="shared" si="7"/>
        <v>46881</v>
      </c>
    </row>
    <row r="194" spans="9:9" x14ac:dyDescent="0.2">
      <c r="I194" s="18">
        <f t="shared" si="7"/>
        <v>46888</v>
      </c>
    </row>
    <row r="195" spans="9:9" x14ac:dyDescent="0.2">
      <c r="I195" s="18">
        <f t="shared" ref="I195:I258" si="8">I194+7</f>
        <v>46895</v>
      </c>
    </row>
    <row r="196" spans="9:9" x14ac:dyDescent="0.2">
      <c r="I196" s="18">
        <f t="shared" si="8"/>
        <v>46902</v>
      </c>
    </row>
    <row r="197" spans="9:9" x14ac:dyDescent="0.2">
      <c r="I197" s="18">
        <f t="shared" si="8"/>
        <v>46909</v>
      </c>
    </row>
    <row r="198" spans="9:9" x14ac:dyDescent="0.2">
      <c r="I198" s="18">
        <f t="shared" si="8"/>
        <v>46916</v>
      </c>
    </row>
    <row r="199" spans="9:9" x14ac:dyDescent="0.2">
      <c r="I199" s="18">
        <f t="shared" si="8"/>
        <v>46923</v>
      </c>
    </row>
    <row r="200" spans="9:9" x14ac:dyDescent="0.2">
      <c r="I200" s="18">
        <f t="shared" si="8"/>
        <v>46930</v>
      </c>
    </row>
    <row r="201" spans="9:9" x14ac:dyDescent="0.2">
      <c r="I201" s="18">
        <f t="shared" si="8"/>
        <v>46937</v>
      </c>
    </row>
    <row r="202" spans="9:9" x14ac:dyDescent="0.2">
      <c r="I202" s="18">
        <f t="shared" si="8"/>
        <v>46944</v>
      </c>
    </row>
    <row r="203" spans="9:9" x14ac:dyDescent="0.2">
      <c r="I203" s="18">
        <f t="shared" si="8"/>
        <v>46951</v>
      </c>
    </row>
    <row r="204" spans="9:9" x14ac:dyDescent="0.2">
      <c r="I204" s="18">
        <f t="shared" si="8"/>
        <v>46958</v>
      </c>
    </row>
    <row r="205" spans="9:9" x14ac:dyDescent="0.2">
      <c r="I205" s="18">
        <f t="shared" si="8"/>
        <v>46965</v>
      </c>
    </row>
    <row r="206" spans="9:9" x14ac:dyDescent="0.2">
      <c r="I206" s="18">
        <f t="shared" si="8"/>
        <v>46972</v>
      </c>
    </row>
    <row r="207" spans="9:9" x14ac:dyDescent="0.2">
      <c r="I207" s="18">
        <f t="shared" si="8"/>
        <v>46979</v>
      </c>
    </row>
    <row r="208" spans="9:9" x14ac:dyDescent="0.2">
      <c r="I208" s="18">
        <f t="shared" si="8"/>
        <v>46986</v>
      </c>
    </row>
    <row r="209" spans="9:9" x14ac:dyDescent="0.2">
      <c r="I209" s="18">
        <f t="shared" si="8"/>
        <v>46993</v>
      </c>
    </row>
    <row r="210" spans="9:9" x14ac:dyDescent="0.2">
      <c r="I210" s="18">
        <f t="shared" si="8"/>
        <v>47000</v>
      </c>
    </row>
    <row r="211" spans="9:9" x14ac:dyDescent="0.2">
      <c r="I211" s="18">
        <f t="shared" si="8"/>
        <v>47007</v>
      </c>
    </row>
    <row r="212" spans="9:9" x14ac:dyDescent="0.2">
      <c r="I212" s="18">
        <f t="shared" si="8"/>
        <v>47014</v>
      </c>
    </row>
    <row r="213" spans="9:9" x14ac:dyDescent="0.2">
      <c r="I213" s="18">
        <f t="shared" si="8"/>
        <v>47021</v>
      </c>
    </row>
    <row r="214" spans="9:9" x14ac:dyDescent="0.2">
      <c r="I214" s="18">
        <f t="shared" si="8"/>
        <v>47028</v>
      </c>
    </row>
    <row r="215" spans="9:9" x14ac:dyDescent="0.2">
      <c r="I215" s="18">
        <f t="shared" si="8"/>
        <v>47035</v>
      </c>
    </row>
    <row r="216" spans="9:9" x14ac:dyDescent="0.2">
      <c r="I216" s="18">
        <f t="shared" si="8"/>
        <v>47042</v>
      </c>
    </row>
    <row r="217" spans="9:9" x14ac:dyDescent="0.2">
      <c r="I217" s="18">
        <f t="shared" si="8"/>
        <v>47049</v>
      </c>
    </row>
    <row r="218" spans="9:9" x14ac:dyDescent="0.2">
      <c r="I218" s="18">
        <f t="shared" si="8"/>
        <v>47056</v>
      </c>
    </row>
    <row r="219" spans="9:9" x14ac:dyDescent="0.2">
      <c r="I219" s="18">
        <f t="shared" si="8"/>
        <v>47063</v>
      </c>
    </row>
    <row r="220" spans="9:9" x14ac:dyDescent="0.2">
      <c r="I220" s="18">
        <f t="shared" si="8"/>
        <v>47070</v>
      </c>
    </row>
    <row r="221" spans="9:9" x14ac:dyDescent="0.2">
      <c r="I221" s="18">
        <f t="shared" si="8"/>
        <v>47077</v>
      </c>
    </row>
    <row r="222" spans="9:9" x14ac:dyDescent="0.2">
      <c r="I222" s="18">
        <f t="shared" si="8"/>
        <v>47084</v>
      </c>
    </row>
    <row r="223" spans="9:9" x14ac:dyDescent="0.2">
      <c r="I223" s="18">
        <f t="shared" si="8"/>
        <v>47091</v>
      </c>
    </row>
    <row r="224" spans="9:9" x14ac:dyDescent="0.2">
      <c r="I224" s="18">
        <f t="shared" si="8"/>
        <v>47098</v>
      </c>
    </row>
    <row r="225" spans="9:9" x14ac:dyDescent="0.2">
      <c r="I225" s="18">
        <f t="shared" si="8"/>
        <v>47105</v>
      </c>
    </row>
    <row r="226" spans="9:9" x14ac:dyDescent="0.2">
      <c r="I226" s="18">
        <f t="shared" si="8"/>
        <v>47112</v>
      </c>
    </row>
    <row r="227" spans="9:9" x14ac:dyDescent="0.2">
      <c r="I227" s="18">
        <f t="shared" si="8"/>
        <v>47119</v>
      </c>
    </row>
    <row r="228" spans="9:9" x14ac:dyDescent="0.2">
      <c r="I228" s="18">
        <f t="shared" si="8"/>
        <v>47126</v>
      </c>
    </row>
    <row r="229" spans="9:9" x14ac:dyDescent="0.2">
      <c r="I229" s="18">
        <f t="shared" si="8"/>
        <v>47133</v>
      </c>
    </row>
    <row r="230" spans="9:9" x14ac:dyDescent="0.2">
      <c r="I230" s="18">
        <f t="shared" si="8"/>
        <v>47140</v>
      </c>
    </row>
    <row r="231" spans="9:9" x14ac:dyDescent="0.2">
      <c r="I231" s="18">
        <f t="shared" si="8"/>
        <v>47147</v>
      </c>
    </row>
    <row r="232" spans="9:9" x14ac:dyDescent="0.2">
      <c r="I232" s="18">
        <f t="shared" si="8"/>
        <v>47154</v>
      </c>
    </row>
    <row r="233" spans="9:9" x14ac:dyDescent="0.2">
      <c r="I233" s="18">
        <f t="shared" si="8"/>
        <v>47161</v>
      </c>
    </row>
    <row r="234" spans="9:9" x14ac:dyDescent="0.2">
      <c r="I234" s="18">
        <f t="shared" si="8"/>
        <v>47168</v>
      </c>
    </row>
    <row r="235" spans="9:9" x14ac:dyDescent="0.2">
      <c r="I235" s="18">
        <f t="shared" si="8"/>
        <v>47175</v>
      </c>
    </row>
    <row r="236" spans="9:9" x14ac:dyDescent="0.2">
      <c r="I236" s="18">
        <f t="shared" si="8"/>
        <v>47182</v>
      </c>
    </row>
    <row r="237" spans="9:9" x14ac:dyDescent="0.2">
      <c r="I237" s="18">
        <f t="shared" si="8"/>
        <v>47189</v>
      </c>
    </row>
    <row r="238" spans="9:9" x14ac:dyDescent="0.2">
      <c r="I238" s="18">
        <f t="shared" si="8"/>
        <v>47196</v>
      </c>
    </row>
    <row r="239" spans="9:9" x14ac:dyDescent="0.2">
      <c r="I239" s="18">
        <f t="shared" si="8"/>
        <v>47203</v>
      </c>
    </row>
    <row r="240" spans="9:9" x14ac:dyDescent="0.2">
      <c r="I240" s="18">
        <f t="shared" si="8"/>
        <v>47210</v>
      </c>
    </row>
    <row r="241" spans="9:9" x14ac:dyDescent="0.2">
      <c r="I241" s="18">
        <f t="shared" si="8"/>
        <v>47217</v>
      </c>
    </row>
    <row r="242" spans="9:9" x14ac:dyDescent="0.2">
      <c r="I242" s="18">
        <f t="shared" si="8"/>
        <v>47224</v>
      </c>
    </row>
    <row r="243" spans="9:9" x14ac:dyDescent="0.2">
      <c r="I243" s="18">
        <f t="shared" si="8"/>
        <v>47231</v>
      </c>
    </row>
    <row r="244" spans="9:9" x14ac:dyDescent="0.2">
      <c r="I244" s="18">
        <f t="shared" si="8"/>
        <v>47238</v>
      </c>
    </row>
    <row r="245" spans="9:9" x14ac:dyDescent="0.2">
      <c r="I245" s="18">
        <f t="shared" si="8"/>
        <v>47245</v>
      </c>
    </row>
    <row r="246" spans="9:9" x14ac:dyDescent="0.2">
      <c r="I246" s="18">
        <f t="shared" si="8"/>
        <v>47252</v>
      </c>
    </row>
    <row r="247" spans="9:9" x14ac:dyDescent="0.2">
      <c r="I247" s="18">
        <f t="shared" si="8"/>
        <v>47259</v>
      </c>
    </row>
    <row r="248" spans="9:9" x14ac:dyDescent="0.2">
      <c r="I248" s="18">
        <f t="shared" si="8"/>
        <v>47266</v>
      </c>
    </row>
    <row r="249" spans="9:9" x14ac:dyDescent="0.2">
      <c r="I249" s="18">
        <f t="shared" si="8"/>
        <v>47273</v>
      </c>
    </row>
    <row r="250" spans="9:9" x14ac:dyDescent="0.2">
      <c r="I250" s="18">
        <f t="shared" si="8"/>
        <v>47280</v>
      </c>
    </row>
    <row r="251" spans="9:9" x14ac:dyDescent="0.2">
      <c r="I251" s="18">
        <f t="shared" si="8"/>
        <v>47287</v>
      </c>
    </row>
    <row r="252" spans="9:9" x14ac:dyDescent="0.2">
      <c r="I252" s="18">
        <f t="shared" si="8"/>
        <v>47294</v>
      </c>
    </row>
    <row r="253" spans="9:9" x14ac:dyDescent="0.2">
      <c r="I253" s="18">
        <f t="shared" si="8"/>
        <v>47301</v>
      </c>
    </row>
    <row r="254" spans="9:9" x14ac:dyDescent="0.2">
      <c r="I254" s="18">
        <f t="shared" si="8"/>
        <v>47308</v>
      </c>
    </row>
    <row r="255" spans="9:9" x14ac:dyDescent="0.2">
      <c r="I255" s="18">
        <f t="shared" si="8"/>
        <v>47315</v>
      </c>
    </row>
    <row r="256" spans="9:9" x14ac:dyDescent="0.2">
      <c r="I256" s="18">
        <f t="shared" si="8"/>
        <v>47322</v>
      </c>
    </row>
    <row r="257" spans="9:9" x14ac:dyDescent="0.2">
      <c r="I257" s="18">
        <f t="shared" si="8"/>
        <v>47329</v>
      </c>
    </row>
    <row r="258" spans="9:9" x14ac:dyDescent="0.2">
      <c r="I258" s="18">
        <f t="shared" si="8"/>
        <v>47336</v>
      </c>
    </row>
    <row r="259" spans="9:9" x14ac:dyDescent="0.2">
      <c r="I259" s="18">
        <f t="shared" ref="I259:I322" si="9">I258+7</f>
        <v>47343</v>
      </c>
    </row>
    <row r="260" spans="9:9" x14ac:dyDescent="0.2">
      <c r="I260" s="18">
        <f t="shared" si="9"/>
        <v>47350</v>
      </c>
    </row>
    <row r="261" spans="9:9" x14ac:dyDescent="0.2">
      <c r="I261" s="18">
        <f t="shared" si="9"/>
        <v>47357</v>
      </c>
    </row>
    <row r="262" spans="9:9" x14ac:dyDescent="0.2">
      <c r="I262" s="18">
        <f t="shared" si="9"/>
        <v>47364</v>
      </c>
    </row>
    <row r="263" spans="9:9" x14ac:dyDescent="0.2">
      <c r="I263" s="18">
        <f t="shared" si="9"/>
        <v>47371</v>
      </c>
    </row>
    <row r="264" spans="9:9" x14ac:dyDescent="0.2">
      <c r="I264" s="18">
        <f t="shared" si="9"/>
        <v>47378</v>
      </c>
    </row>
    <row r="265" spans="9:9" x14ac:dyDescent="0.2">
      <c r="I265" s="18">
        <f t="shared" si="9"/>
        <v>47385</v>
      </c>
    </row>
    <row r="266" spans="9:9" x14ac:dyDescent="0.2">
      <c r="I266" s="18">
        <f t="shared" si="9"/>
        <v>47392</v>
      </c>
    </row>
    <row r="267" spans="9:9" x14ac:dyDescent="0.2">
      <c r="I267" s="18">
        <f t="shared" si="9"/>
        <v>47399</v>
      </c>
    </row>
    <row r="268" spans="9:9" x14ac:dyDescent="0.2">
      <c r="I268" s="18">
        <f t="shared" si="9"/>
        <v>47406</v>
      </c>
    </row>
    <row r="269" spans="9:9" x14ac:dyDescent="0.2">
      <c r="I269" s="18">
        <f t="shared" si="9"/>
        <v>47413</v>
      </c>
    </row>
    <row r="270" spans="9:9" x14ac:dyDescent="0.2">
      <c r="I270" s="18">
        <f t="shared" si="9"/>
        <v>47420</v>
      </c>
    </row>
    <row r="271" spans="9:9" x14ac:dyDescent="0.2">
      <c r="I271" s="18">
        <f t="shared" si="9"/>
        <v>47427</v>
      </c>
    </row>
    <row r="272" spans="9:9" x14ac:dyDescent="0.2">
      <c r="I272" s="18">
        <f t="shared" si="9"/>
        <v>47434</v>
      </c>
    </row>
    <row r="273" spans="9:9" x14ac:dyDescent="0.2">
      <c r="I273" s="18">
        <f t="shared" si="9"/>
        <v>47441</v>
      </c>
    </row>
    <row r="274" spans="9:9" x14ac:dyDescent="0.2">
      <c r="I274" s="18">
        <f t="shared" si="9"/>
        <v>47448</v>
      </c>
    </row>
    <row r="275" spans="9:9" x14ac:dyDescent="0.2">
      <c r="I275" s="18">
        <f t="shared" si="9"/>
        <v>47455</v>
      </c>
    </row>
    <row r="276" spans="9:9" x14ac:dyDescent="0.2">
      <c r="I276" s="18">
        <f t="shared" si="9"/>
        <v>47462</v>
      </c>
    </row>
    <row r="277" spans="9:9" x14ac:dyDescent="0.2">
      <c r="I277" s="18">
        <f t="shared" si="9"/>
        <v>47469</v>
      </c>
    </row>
    <row r="278" spans="9:9" x14ac:dyDescent="0.2">
      <c r="I278" s="18">
        <f t="shared" si="9"/>
        <v>47476</v>
      </c>
    </row>
    <row r="279" spans="9:9" x14ac:dyDescent="0.2">
      <c r="I279" s="18">
        <f t="shared" si="9"/>
        <v>47483</v>
      </c>
    </row>
    <row r="280" spans="9:9" x14ac:dyDescent="0.2">
      <c r="I280" s="18">
        <f t="shared" si="9"/>
        <v>47490</v>
      </c>
    </row>
    <row r="281" spans="9:9" x14ac:dyDescent="0.2">
      <c r="I281" s="18">
        <f t="shared" si="9"/>
        <v>47497</v>
      </c>
    </row>
    <row r="282" spans="9:9" x14ac:dyDescent="0.2">
      <c r="I282" s="18">
        <f t="shared" si="9"/>
        <v>47504</v>
      </c>
    </row>
    <row r="283" spans="9:9" x14ac:dyDescent="0.2">
      <c r="I283" s="18">
        <f t="shared" si="9"/>
        <v>47511</v>
      </c>
    </row>
    <row r="284" spans="9:9" x14ac:dyDescent="0.2">
      <c r="I284" s="18">
        <f t="shared" si="9"/>
        <v>47518</v>
      </c>
    </row>
    <row r="285" spans="9:9" x14ac:dyDescent="0.2">
      <c r="I285" s="18">
        <f t="shared" si="9"/>
        <v>47525</v>
      </c>
    </row>
    <row r="286" spans="9:9" x14ac:dyDescent="0.2">
      <c r="I286" s="18">
        <f t="shared" si="9"/>
        <v>47532</v>
      </c>
    </row>
    <row r="287" spans="9:9" x14ac:dyDescent="0.2">
      <c r="I287" s="18">
        <f t="shared" si="9"/>
        <v>47539</v>
      </c>
    </row>
    <row r="288" spans="9:9" x14ac:dyDescent="0.2">
      <c r="I288" s="18">
        <f t="shared" si="9"/>
        <v>47546</v>
      </c>
    </row>
    <row r="289" spans="9:9" x14ac:dyDescent="0.2">
      <c r="I289" s="18">
        <f t="shared" si="9"/>
        <v>47553</v>
      </c>
    </row>
    <row r="290" spans="9:9" x14ac:dyDescent="0.2">
      <c r="I290" s="18">
        <f t="shared" si="9"/>
        <v>47560</v>
      </c>
    </row>
    <row r="291" spans="9:9" x14ac:dyDescent="0.2">
      <c r="I291" s="18">
        <f t="shared" si="9"/>
        <v>47567</v>
      </c>
    </row>
    <row r="292" spans="9:9" x14ac:dyDescent="0.2">
      <c r="I292" s="18">
        <f t="shared" si="9"/>
        <v>47574</v>
      </c>
    </row>
    <row r="293" spans="9:9" x14ac:dyDescent="0.2">
      <c r="I293" s="18">
        <f t="shared" si="9"/>
        <v>47581</v>
      </c>
    </row>
    <row r="294" spans="9:9" x14ac:dyDescent="0.2">
      <c r="I294" s="18">
        <f t="shared" si="9"/>
        <v>47588</v>
      </c>
    </row>
    <row r="295" spans="9:9" x14ac:dyDescent="0.2">
      <c r="I295" s="18">
        <f t="shared" si="9"/>
        <v>47595</v>
      </c>
    </row>
    <row r="296" spans="9:9" x14ac:dyDescent="0.2">
      <c r="I296" s="18">
        <f t="shared" si="9"/>
        <v>47602</v>
      </c>
    </row>
    <row r="297" spans="9:9" x14ac:dyDescent="0.2">
      <c r="I297" s="18">
        <f t="shared" si="9"/>
        <v>47609</v>
      </c>
    </row>
    <row r="298" spans="9:9" x14ac:dyDescent="0.2">
      <c r="I298" s="18">
        <f t="shared" si="9"/>
        <v>47616</v>
      </c>
    </row>
    <row r="299" spans="9:9" x14ac:dyDescent="0.2">
      <c r="I299" s="18">
        <f t="shared" si="9"/>
        <v>47623</v>
      </c>
    </row>
    <row r="300" spans="9:9" x14ac:dyDescent="0.2">
      <c r="I300" s="18">
        <f t="shared" si="9"/>
        <v>47630</v>
      </c>
    </row>
    <row r="301" spans="9:9" x14ac:dyDescent="0.2">
      <c r="I301" s="18">
        <f t="shared" si="9"/>
        <v>47637</v>
      </c>
    </row>
    <row r="302" spans="9:9" x14ac:dyDescent="0.2">
      <c r="I302" s="18">
        <f t="shared" si="9"/>
        <v>47644</v>
      </c>
    </row>
    <row r="303" spans="9:9" x14ac:dyDescent="0.2">
      <c r="I303" s="18">
        <f t="shared" si="9"/>
        <v>47651</v>
      </c>
    </row>
    <row r="304" spans="9:9" x14ac:dyDescent="0.2">
      <c r="I304" s="18">
        <f t="shared" si="9"/>
        <v>47658</v>
      </c>
    </row>
    <row r="305" spans="9:9" x14ac:dyDescent="0.2">
      <c r="I305" s="18">
        <f t="shared" si="9"/>
        <v>47665</v>
      </c>
    </row>
    <row r="306" spans="9:9" x14ac:dyDescent="0.2">
      <c r="I306" s="18">
        <f t="shared" si="9"/>
        <v>47672</v>
      </c>
    </row>
    <row r="307" spans="9:9" x14ac:dyDescent="0.2">
      <c r="I307" s="18">
        <f t="shared" si="9"/>
        <v>47679</v>
      </c>
    </row>
    <row r="308" spans="9:9" x14ac:dyDescent="0.2">
      <c r="I308" s="18">
        <f t="shared" si="9"/>
        <v>47686</v>
      </c>
    </row>
    <row r="309" spans="9:9" x14ac:dyDescent="0.2">
      <c r="I309" s="18">
        <f t="shared" si="9"/>
        <v>47693</v>
      </c>
    </row>
    <row r="310" spans="9:9" x14ac:dyDescent="0.2">
      <c r="I310" s="18">
        <f t="shared" si="9"/>
        <v>47700</v>
      </c>
    </row>
    <row r="311" spans="9:9" x14ac:dyDescent="0.2">
      <c r="I311" s="18">
        <f t="shared" si="9"/>
        <v>47707</v>
      </c>
    </row>
    <row r="312" spans="9:9" x14ac:dyDescent="0.2">
      <c r="I312" s="18">
        <f t="shared" si="9"/>
        <v>47714</v>
      </c>
    </row>
    <row r="313" spans="9:9" x14ac:dyDescent="0.2">
      <c r="I313" s="18">
        <f t="shared" si="9"/>
        <v>47721</v>
      </c>
    </row>
    <row r="314" spans="9:9" x14ac:dyDescent="0.2">
      <c r="I314" s="18">
        <f t="shared" si="9"/>
        <v>47728</v>
      </c>
    </row>
    <row r="315" spans="9:9" x14ac:dyDescent="0.2">
      <c r="I315" s="18">
        <f t="shared" si="9"/>
        <v>47735</v>
      </c>
    </row>
    <row r="316" spans="9:9" x14ac:dyDescent="0.2">
      <c r="I316" s="18">
        <f t="shared" si="9"/>
        <v>47742</v>
      </c>
    </row>
    <row r="317" spans="9:9" x14ac:dyDescent="0.2">
      <c r="I317" s="18">
        <f t="shared" si="9"/>
        <v>47749</v>
      </c>
    </row>
    <row r="318" spans="9:9" x14ac:dyDescent="0.2">
      <c r="I318" s="18">
        <f t="shared" si="9"/>
        <v>47756</v>
      </c>
    </row>
    <row r="319" spans="9:9" x14ac:dyDescent="0.2">
      <c r="I319" s="18">
        <f t="shared" si="9"/>
        <v>47763</v>
      </c>
    </row>
    <row r="320" spans="9:9" x14ac:dyDescent="0.2">
      <c r="I320" s="18">
        <f t="shared" si="9"/>
        <v>47770</v>
      </c>
    </row>
    <row r="321" spans="9:9" x14ac:dyDescent="0.2">
      <c r="I321" s="18">
        <f t="shared" si="9"/>
        <v>47777</v>
      </c>
    </row>
    <row r="322" spans="9:9" x14ac:dyDescent="0.2">
      <c r="I322" s="18">
        <f t="shared" si="9"/>
        <v>47784</v>
      </c>
    </row>
    <row r="323" spans="9:9" x14ac:dyDescent="0.2">
      <c r="I323" s="18">
        <f t="shared" ref="I323:I331" si="10">I322+7</f>
        <v>47791</v>
      </c>
    </row>
    <row r="324" spans="9:9" x14ac:dyDescent="0.2">
      <c r="I324" s="18">
        <f t="shared" si="10"/>
        <v>47798</v>
      </c>
    </row>
    <row r="325" spans="9:9" x14ac:dyDescent="0.2">
      <c r="I325" s="18">
        <f t="shared" si="10"/>
        <v>47805</v>
      </c>
    </row>
    <row r="326" spans="9:9" x14ac:dyDescent="0.2">
      <c r="I326" s="18">
        <f t="shared" si="10"/>
        <v>47812</v>
      </c>
    </row>
    <row r="327" spans="9:9" x14ac:dyDescent="0.2">
      <c r="I327" s="18">
        <f t="shared" si="10"/>
        <v>47819</v>
      </c>
    </row>
    <row r="328" spans="9:9" x14ac:dyDescent="0.2">
      <c r="I328" s="18">
        <f t="shared" si="10"/>
        <v>47826</v>
      </c>
    </row>
    <row r="329" spans="9:9" x14ac:dyDescent="0.2">
      <c r="I329" s="18">
        <f t="shared" si="10"/>
        <v>47833</v>
      </c>
    </row>
    <row r="330" spans="9:9" x14ac:dyDescent="0.2">
      <c r="I330" s="18">
        <f t="shared" si="10"/>
        <v>47840</v>
      </c>
    </row>
    <row r="331" spans="9:9" x14ac:dyDescent="0.2">
      <c r="I331" s="18">
        <f t="shared" si="10"/>
        <v>47847</v>
      </c>
    </row>
    <row r="332" spans="9:9" x14ac:dyDescent="0.2">
      <c r="I332" s="18"/>
    </row>
    <row r="333" spans="9:9" x14ac:dyDescent="0.2">
      <c r="I333" s="18"/>
    </row>
    <row r="334" spans="9:9" x14ac:dyDescent="0.2">
      <c r="I334" s="18"/>
    </row>
    <row r="335" spans="9:9" x14ac:dyDescent="0.2">
      <c r="I335" s="18"/>
    </row>
    <row r="336" spans="9:9" x14ac:dyDescent="0.2">
      <c r="I336" s="18"/>
    </row>
    <row r="337" spans="9:9" x14ac:dyDescent="0.2">
      <c r="I337" s="18"/>
    </row>
    <row r="338" spans="9:9" x14ac:dyDescent="0.2">
      <c r="I338" s="18"/>
    </row>
    <row r="339" spans="9:9" x14ac:dyDescent="0.2">
      <c r="I339" s="18"/>
    </row>
    <row r="340" spans="9:9" x14ac:dyDescent="0.2">
      <c r="I340" s="18"/>
    </row>
    <row r="341" spans="9:9" x14ac:dyDescent="0.2">
      <c r="I341" s="18"/>
    </row>
    <row r="342" spans="9:9" x14ac:dyDescent="0.2">
      <c r="I342" s="18"/>
    </row>
    <row r="343" spans="9:9" x14ac:dyDescent="0.2">
      <c r="I343" s="18"/>
    </row>
    <row r="344" spans="9:9" x14ac:dyDescent="0.2">
      <c r="I344" s="18"/>
    </row>
    <row r="345" spans="9:9" x14ac:dyDescent="0.2">
      <c r="I345" s="18"/>
    </row>
    <row r="346" spans="9:9" x14ac:dyDescent="0.2">
      <c r="I346" s="18"/>
    </row>
    <row r="347" spans="9:9" x14ac:dyDescent="0.2">
      <c r="I347" s="18"/>
    </row>
    <row r="348" spans="9:9" x14ac:dyDescent="0.2">
      <c r="I348" s="18"/>
    </row>
    <row r="349" spans="9:9" x14ac:dyDescent="0.2">
      <c r="I349" s="18"/>
    </row>
    <row r="350" spans="9:9" x14ac:dyDescent="0.2">
      <c r="I350" s="18"/>
    </row>
    <row r="351" spans="9:9" x14ac:dyDescent="0.2">
      <c r="I351" s="18"/>
    </row>
    <row r="352" spans="9:9" x14ac:dyDescent="0.2">
      <c r="I352" s="18"/>
    </row>
    <row r="353" spans="9:9" x14ac:dyDescent="0.2">
      <c r="I353" s="18"/>
    </row>
    <row r="354" spans="9:9" x14ac:dyDescent="0.2">
      <c r="I354" s="18"/>
    </row>
    <row r="355" spans="9:9" x14ac:dyDescent="0.2">
      <c r="I355" s="18"/>
    </row>
    <row r="356" spans="9:9" x14ac:dyDescent="0.2">
      <c r="I356" s="18"/>
    </row>
    <row r="357" spans="9:9" x14ac:dyDescent="0.2">
      <c r="I357" s="18"/>
    </row>
    <row r="358" spans="9:9" x14ac:dyDescent="0.2">
      <c r="I358" s="18"/>
    </row>
    <row r="359" spans="9:9" x14ac:dyDescent="0.2">
      <c r="I359" s="18"/>
    </row>
    <row r="360" spans="9:9" x14ac:dyDescent="0.2">
      <c r="I360" s="18"/>
    </row>
    <row r="361" spans="9:9" x14ac:dyDescent="0.2">
      <c r="I361" s="18"/>
    </row>
    <row r="362" spans="9:9" x14ac:dyDescent="0.2">
      <c r="I362" s="18"/>
    </row>
    <row r="363" spans="9:9" x14ac:dyDescent="0.2">
      <c r="I363" s="18"/>
    </row>
    <row r="364" spans="9:9" x14ac:dyDescent="0.2">
      <c r="I364" s="18"/>
    </row>
    <row r="365" spans="9:9" x14ac:dyDescent="0.2">
      <c r="I365" s="18"/>
    </row>
    <row r="366" spans="9:9" x14ac:dyDescent="0.2">
      <c r="I366" s="18"/>
    </row>
    <row r="367" spans="9:9" x14ac:dyDescent="0.2">
      <c r="I367" s="18"/>
    </row>
    <row r="368" spans="9:9" x14ac:dyDescent="0.2">
      <c r="I368" s="18"/>
    </row>
    <row r="369" spans="9:9" x14ac:dyDescent="0.2">
      <c r="I369" s="18"/>
    </row>
    <row r="370" spans="9:9" x14ac:dyDescent="0.2">
      <c r="I370" s="18"/>
    </row>
    <row r="371" spans="9:9" x14ac:dyDescent="0.2">
      <c r="I371" s="18"/>
    </row>
    <row r="372" spans="9:9" x14ac:dyDescent="0.2">
      <c r="I372" s="18"/>
    </row>
    <row r="373" spans="9:9" x14ac:dyDescent="0.2">
      <c r="I373" s="18"/>
    </row>
    <row r="374" spans="9:9" x14ac:dyDescent="0.2">
      <c r="I374" s="18"/>
    </row>
    <row r="375" spans="9:9" x14ac:dyDescent="0.2">
      <c r="I375" s="18"/>
    </row>
    <row r="376" spans="9:9" x14ac:dyDescent="0.2">
      <c r="I376" s="18"/>
    </row>
    <row r="377" spans="9:9" x14ac:dyDescent="0.2">
      <c r="I377" s="18"/>
    </row>
    <row r="378" spans="9:9" x14ac:dyDescent="0.2">
      <c r="I378" s="18"/>
    </row>
    <row r="379" spans="9:9" x14ac:dyDescent="0.2">
      <c r="I379" s="18"/>
    </row>
    <row r="380" spans="9:9" x14ac:dyDescent="0.2">
      <c r="I380" s="18"/>
    </row>
    <row r="381" spans="9:9" x14ac:dyDescent="0.2">
      <c r="I381" s="18"/>
    </row>
    <row r="382" spans="9:9" x14ac:dyDescent="0.2">
      <c r="I382" s="18"/>
    </row>
    <row r="383" spans="9:9" x14ac:dyDescent="0.2">
      <c r="I383" s="18"/>
    </row>
    <row r="384" spans="9:9" x14ac:dyDescent="0.2">
      <c r="I384" s="18"/>
    </row>
    <row r="385" spans="9:9" x14ac:dyDescent="0.2">
      <c r="I385" s="18"/>
    </row>
    <row r="386" spans="9:9" x14ac:dyDescent="0.2">
      <c r="I386" s="18"/>
    </row>
    <row r="387" spans="9:9" x14ac:dyDescent="0.2">
      <c r="I387" s="18"/>
    </row>
    <row r="388" spans="9:9" x14ac:dyDescent="0.2">
      <c r="I388" s="18"/>
    </row>
    <row r="389" spans="9:9" x14ac:dyDescent="0.2">
      <c r="I389" s="18"/>
    </row>
    <row r="390" spans="9:9" x14ac:dyDescent="0.2">
      <c r="I390" s="18"/>
    </row>
    <row r="391" spans="9:9" x14ac:dyDescent="0.2">
      <c r="I391" s="18"/>
    </row>
    <row r="392" spans="9:9" x14ac:dyDescent="0.2">
      <c r="I392" s="18"/>
    </row>
    <row r="393" spans="9:9" x14ac:dyDescent="0.2">
      <c r="I393" s="18"/>
    </row>
    <row r="394" spans="9:9" x14ac:dyDescent="0.2">
      <c r="I394" s="18"/>
    </row>
    <row r="395" spans="9:9" x14ac:dyDescent="0.2">
      <c r="I395" s="18"/>
    </row>
    <row r="396" spans="9:9" x14ac:dyDescent="0.2">
      <c r="I396" s="18"/>
    </row>
    <row r="397" spans="9:9" x14ac:dyDescent="0.2">
      <c r="I397" s="18"/>
    </row>
    <row r="398" spans="9:9" x14ac:dyDescent="0.2">
      <c r="I398" s="18"/>
    </row>
    <row r="399" spans="9:9" x14ac:dyDescent="0.2">
      <c r="I399" s="18"/>
    </row>
    <row r="400" spans="9:9" x14ac:dyDescent="0.2">
      <c r="I400" s="18"/>
    </row>
    <row r="401" spans="9:9" x14ac:dyDescent="0.2">
      <c r="I401" s="18"/>
    </row>
    <row r="402" spans="9:9" x14ac:dyDescent="0.2">
      <c r="I402" s="18"/>
    </row>
    <row r="403" spans="9:9" x14ac:dyDescent="0.2">
      <c r="I403" s="18"/>
    </row>
    <row r="404" spans="9:9" x14ac:dyDescent="0.2">
      <c r="I404" s="18"/>
    </row>
    <row r="405" spans="9:9" x14ac:dyDescent="0.2">
      <c r="I405" s="18"/>
    </row>
    <row r="406" spans="9:9" x14ac:dyDescent="0.2">
      <c r="I406" s="18"/>
    </row>
    <row r="407" spans="9:9" x14ac:dyDescent="0.2">
      <c r="I407" s="18"/>
    </row>
    <row r="408" spans="9:9" x14ac:dyDescent="0.2">
      <c r="I408" s="18"/>
    </row>
    <row r="409" spans="9:9" x14ac:dyDescent="0.2">
      <c r="I409" s="18"/>
    </row>
    <row r="410" spans="9:9" x14ac:dyDescent="0.2">
      <c r="I410" s="18"/>
    </row>
    <row r="411" spans="9:9" x14ac:dyDescent="0.2">
      <c r="I411" s="18"/>
    </row>
    <row r="412" spans="9:9" x14ac:dyDescent="0.2">
      <c r="I412" s="18"/>
    </row>
    <row r="413" spans="9:9" x14ac:dyDescent="0.2">
      <c r="I413" s="18"/>
    </row>
    <row r="414" spans="9:9" x14ac:dyDescent="0.2">
      <c r="I414" s="18"/>
    </row>
    <row r="415" spans="9:9" x14ac:dyDescent="0.2">
      <c r="I415" s="18"/>
    </row>
    <row r="416" spans="9:9" x14ac:dyDescent="0.2">
      <c r="I416" s="18"/>
    </row>
    <row r="417" spans="9:9" x14ac:dyDescent="0.2">
      <c r="I417" s="18"/>
    </row>
    <row r="418" spans="9:9" x14ac:dyDescent="0.2">
      <c r="I418" s="18"/>
    </row>
    <row r="419" spans="9:9" x14ac:dyDescent="0.2">
      <c r="I419" s="18"/>
    </row>
    <row r="420" spans="9:9" x14ac:dyDescent="0.2">
      <c r="I420" s="18"/>
    </row>
    <row r="421" spans="9:9" x14ac:dyDescent="0.2">
      <c r="I421" s="18"/>
    </row>
    <row r="422" spans="9:9" x14ac:dyDescent="0.2">
      <c r="I422" s="18"/>
    </row>
    <row r="423" spans="9:9" x14ac:dyDescent="0.2">
      <c r="I423" s="18"/>
    </row>
    <row r="424" spans="9:9" x14ac:dyDescent="0.2">
      <c r="I424" s="18"/>
    </row>
    <row r="425" spans="9:9" x14ac:dyDescent="0.2">
      <c r="I425" s="18"/>
    </row>
    <row r="426" spans="9:9" x14ac:dyDescent="0.2">
      <c r="I426" s="18"/>
    </row>
    <row r="427" spans="9:9" x14ac:dyDescent="0.2">
      <c r="I427" s="18"/>
    </row>
    <row r="428" spans="9:9" x14ac:dyDescent="0.2">
      <c r="I428" s="18"/>
    </row>
    <row r="429" spans="9:9" x14ac:dyDescent="0.2">
      <c r="I429" s="18"/>
    </row>
    <row r="430" spans="9:9" x14ac:dyDescent="0.2">
      <c r="I430" s="18"/>
    </row>
    <row r="431" spans="9:9" x14ac:dyDescent="0.2">
      <c r="I431" s="18"/>
    </row>
    <row r="432" spans="9:9" x14ac:dyDescent="0.2">
      <c r="I432" s="18"/>
    </row>
    <row r="433" spans="9:9" x14ac:dyDescent="0.2">
      <c r="I433" s="18"/>
    </row>
    <row r="434" spans="9:9" x14ac:dyDescent="0.2">
      <c r="I434" s="18"/>
    </row>
    <row r="435" spans="9:9" x14ac:dyDescent="0.2">
      <c r="I435" s="18"/>
    </row>
    <row r="436" spans="9:9" x14ac:dyDescent="0.2">
      <c r="I436" s="18"/>
    </row>
    <row r="437" spans="9:9" x14ac:dyDescent="0.2">
      <c r="I437" s="18"/>
    </row>
    <row r="438" spans="9:9" x14ac:dyDescent="0.2">
      <c r="I438" s="18"/>
    </row>
    <row r="439" spans="9:9" x14ac:dyDescent="0.2">
      <c r="I439" s="18"/>
    </row>
    <row r="440" spans="9:9" x14ac:dyDescent="0.2">
      <c r="I440" s="18"/>
    </row>
    <row r="441" spans="9:9" x14ac:dyDescent="0.2">
      <c r="I441" s="18"/>
    </row>
    <row r="442" spans="9:9" x14ac:dyDescent="0.2">
      <c r="I442" s="18"/>
    </row>
    <row r="443" spans="9:9" x14ac:dyDescent="0.2">
      <c r="I443" s="18"/>
    </row>
    <row r="444" spans="9:9" x14ac:dyDescent="0.2">
      <c r="I444" s="18"/>
    </row>
    <row r="445" spans="9:9" x14ac:dyDescent="0.2">
      <c r="I445" s="18"/>
    </row>
    <row r="446" spans="9:9" x14ac:dyDescent="0.2">
      <c r="I446" s="18"/>
    </row>
    <row r="447" spans="9:9" x14ac:dyDescent="0.2">
      <c r="I447" s="18"/>
    </row>
    <row r="448" spans="9:9" x14ac:dyDescent="0.2">
      <c r="I448" s="18"/>
    </row>
    <row r="449" spans="9:9" x14ac:dyDescent="0.2">
      <c r="I449" s="18"/>
    </row>
    <row r="450" spans="9:9" x14ac:dyDescent="0.2">
      <c r="I450" s="18"/>
    </row>
    <row r="451" spans="9:9" x14ac:dyDescent="0.2">
      <c r="I451" s="18"/>
    </row>
    <row r="452" spans="9:9" x14ac:dyDescent="0.2">
      <c r="I452" s="18"/>
    </row>
    <row r="453" spans="9:9" x14ac:dyDescent="0.2">
      <c r="I453" s="18"/>
    </row>
    <row r="454" spans="9:9" x14ac:dyDescent="0.2">
      <c r="I454" s="18"/>
    </row>
    <row r="455" spans="9:9" x14ac:dyDescent="0.2">
      <c r="I455" s="18"/>
    </row>
    <row r="456" spans="9:9" x14ac:dyDescent="0.2">
      <c r="I456" s="18"/>
    </row>
    <row r="457" spans="9:9" x14ac:dyDescent="0.2">
      <c r="I457" s="18"/>
    </row>
    <row r="458" spans="9:9" x14ac:dyDescent="0.2">
      <c r="I458" s="18"/>
    </row>
    <row r="459" spans="9:9" x14ac:dyDescent="0.2">
      <c r="I459" s="18"/>
    </row>
    <row r="460" spans="9:9" x14ac:dyDescent="0.2">
      <c r="I460" s="18"/>
    </row>
    <row r="461" spans="9:9" x14ac:dyDescent="0.2">
      <c r="I461" s="18"/>
    </row>
    <row r="462" spans="9:9" x14ac:dyDescent="0.2">
      <c r="I462" s="18"/>
    </row>
    <row r="463" spans="9:9" x14ac:dyDescent="0.2">
      <c r="I463" s="18"/>
    </row>
    <row r="464" spans="9:9" x14ac:dyDescent="0.2">
      <c r="I464" s="18"/>
    </row>
    <row r="465" spans="9:9" x14ac:dyDescent="0.2">
      <c r="I465" s="18"/>
    </row>
    <row r="466" spans="9:9" x14ac:dyDescent="0.2">
      <c r="I466" s="18"/>
    </row>
    <row r="467" spans="9:9" x14ac:dyDescent="0.2">
      <c r="I467" s="18"/>
    </row>
    <row r="468" spans="9:9" x14ac:dyDescent="0.2">
      <c r="I468" s="18"/>
    </row>
    <row r="469" spans="9:9" x14ac:dyDescent="0.2">
      <c r="I469" s="18"/>
    </row>
    <row r="470" spans="9:9" x14ac:dyDescent="0.2">
      <c r="I470" s="18"/>
    </row>
    <row r="471" spans="9:9" x14ac:dyDescent="0.2">
      <c r="I471" s="18"/>
    </row>
    <row r="472" spans="9:9" x14ac:dyDescent="0.2">
      <c r="I472" s="18"/>
    </row>
    <row r="473" spans="9:9" x14ac:dyDescent="0.2">
      <c r="I473" s="18"/>
    </row>
    <row r="474" spans="9:9" x14ac:dyDescent="0.2">
      <c r="I474" s="18"/>
    </row>
    <row r="475" spans="9:9" x14ac:dyDescent="0.2">
      <c r="I475" s="18"/>
    </row>
    <row r="476" spans="9:9" x14ac:dyDescent="0.2">
      <c r="I476" s="18"/>
    </row>
    <row r="477" spans="9:9" x14ac:dyDescent="0.2">
      <c r="I477" s="18"/>
    </row>
    <row r="478" spans="9:9" x14ac:dyDescent="0.2">
      <c r="I478" s="18"/>
    </row>
    <row r="479" spans="9:9" x14ac:dyDescent="0.2">
      <c r="I479" s="18"/>
    </row>
    <row r="480" spans="9:9" x14ac:dyDescent="0.2">
      <c r="I480" s="18"/>
    </row>
    <row r="481" spans="9:9" x14ac:dyDescent="0.2">
      <c r="I481" s="18"/>
    </row>
    <row r="482" spans="9:9" x14ac:dyDescent="0.2">
      <c r="I482" s="18"/>
    </row>
    <row r="483" spans="9:9" x14ac:dyDescent="0.2">
      <c r="I483" s="18"/>
    </row>
    <row r="484" spans="9:9" x14ac:dyDescent="0.2">
      <c r="I484" s="18"/>
    </row>
    <row r="485" spans="9:9" x14ac:dyDescent="0.2">
      <c r="I485" s="18"/>
    </row>
    <row r="486" spans="9:9" x14ac:dyDescent="0.2">
      <c r="I486" s="18"/>
    </row>
    <row r="487" spans="9:9" x14ac:dyDescent="0.2">
      <c r="I487" s="18"/>
    </row>
    <row r="488" spans="9:9" x14ac:dyDescent="0.2">
      <c r="I488" s="18"/>
    </row>
    <row r="489" spans="9:9" x14ac:dyDescent="0.2">
      <c r="I489" s="18"/>
    </row>
    <row r="490" spans="9:9" x14ac:dyDescent="0.2">
      <c r="I490" s="18"/>
    </row>
    <row r="491" spans="9:9" x14ac:dyDescent="0.2">
      <c r="I491" s="18"/>
    </row>
    <row r="492" spans="9:9" x14ac:dyDescent="0.2">
      <c r="I492" s="18"/>
    </row>
    <row r="493" spans="9:9" x14ac:dyDescent="0.2">
      <c r="I493" s="18"/>
    </row>
    <row r="494" spans="9:9" x14ac:dyDescent="0.2">
      <c r="I494" s="18"/>
    </row>
    <row r="495" spans="9:9" x14ac:dyDescent="0.2">
      <c r="I495" s="18"/>
    </row>
    <row r="496" spans="9:9" x14ac:dyDescent="0.2">
      <c r="I496" s="18"/>
    </row>
    <row r="497" spans="9:9" x14ac:dyDescent="0.2">
      <c r="I497" s="18"/>
    </row>
    <row r="498" spans="9:9" x14ac:dyDescent="0.2">
      <c r="I498" s="18"/>
    </row>
    <row r="499" spans="9:9" x14ac:dyDescent="0.2">
      <c r="I499" s="18"/>
    </row>
    <row r="500" spans="9:9" x14ac:dyDescent="0.2">
      <c r="I500" s="18"/>
    </row>
    <row r="501" spans="9:9" x14ac:dyDescent="0.2">
      <c r="I501" s="18"/>
    </row>
    <row r="502" spans="9:9" x14ac:dyDescent="0.2">
      <c r="I502" s="18"/>
    </row>
    <row r="503" spans="9:9" x14ac:dyDescent="0.2">
      <c r="I503" s="18"/>
    </row>
    <row r="504" spans="9:9" x14ac:dyDescent="0.2">
      <c r="I504" s="18"/>
    </row>
    <row r="505" spans="9:9" x14ac:dyDescent="0.2">
      <c r="I505" s="18"/>
    </row>
    <row r="506" spans="9:9" x14ac:dyDescent="0.2">
      <c r="I506" s="18"/>
    </row>
    <row r="507" spans="9:9" x14ac:dyDescent="0.2">
      <c r="I507" s="18"/>
    </row>
    <row r="508" spans="9:9" x14ac:dyDescent="0.2">
      <c r="I508" s="18"/>
    </row>
    <row r="509" spans="9:9" x14ac:dyDescent="0.2">
      <c r="I509" s="18"/>
    </row>
    <row r="510" spans="9:9" x14ac:dyDescent="0.2">
      <c r="I510" s="18"/>
    </row>
    <row r="511" spans="9:9" x14ac:dyDescent="0.2">
      <c r="I511" s="18"/>
    </row>
    <row r="512" spans="9:9" x14ac:dyDescent="0.2">
      <c r="I512" s="18"/>
    </row>
    <row r="513" spans="9:9" x14ac:dyDescent="0.2">
      <c r="I513" s="18"/>
    </row>
    <row r="514" spans="9:9" x14ac:dyDescent="0.2">
      <c r="I514" s="18"/>
    </row>
    <row r="515" spans="9:9" x14ac:dyDescent="0.2">
      <c r="I515" s="18"/>
    </row>
    <row r="516" spans="9:9" x14ac:dyDescent="0.2">
      <c r="I516" s="18"/>
    </row>
    <row r="517" spans="9:9" x14ac:dyDescent="0.2">
      <c r="I517" s="18"/>
    </row>
    <row r="518" spans="9:9" x14ac:dyDescent="0.2">
      <c r="I518" s="18"/>
    </row>
    <row r="519" spans="9:9" x14ac:dyDescent="0.2">
      <c r="I519" s="18"/>
    </row>
    <row r="520" spans="9:9" x14ac:dyDescent="0.2">
      <c r="I520" s="18"/>
    </row>
    <row r="521" spans="9:9" x14ac:dyDescent="0.2">
      <c r="I521" s="18"/>
    </row>
    <row r="522" spans="9:9" x14ac:dyDescent="0.2">
      <c r="I522" s="18"/>
    </row>
    <row r="523" spans="9:9" x14ac:dyDescent="0.2">
      <c r="I523" s="18"/>
    </row>
    <row r="524" spans="9:9" x14ac:dyDescent="0.2">
      <c r="I524" s="18"/>
    </row>
    <row r="525" spans="9:9" x14ac:dyDescent="0.2">
      <c r="I525" s="18"/>
    </row>
    <row r="526" spans="9:9" x14ac:dyDescent="0.2">
      <c r="I526" s="18"/>
    </row>
    <row r="527" spans="9:9" x14ac:dyDescent="0.2">
      <c r="I527" s="18"/>
    </row>
    <row r="528" spans="9:9" x14ac:dyDescent="0.2">
      <c r="I528" s="18"/>
    </row>
    <row r="529" spans="9:9" x14ac:dyDescent="0.2">
      <c r="I529" s="18"/>
    </row>
    <row r="530" spans="9:9" x14ac:dyDescent="0.2">
      <c r="I530" s="18"/>
    </row>
    <row r="531" spans="9:9" x14ac:dyDescent="0.2">
      <c r="I531" s="18"/>
    </row>
    <row r="532" spans="9:9" x14ac:dyDescent="0.2">
      <c r="I532" s="18"/>
    </row>
    <row r="533" spans="9:9" x14ac:dyDescent="0.2">
      <c r="I533" s="18"/>
    </row>
    <row r="534" spans="9:9" x14ac:dyDescent="0.2">
      <c r="I534" s="18"/>
    </row>
    <row r="535" spans="9:9" x14ac:dyDescent="0.2">
      <c r="I535" s="18"/>
    </row>
    <row r="536" spans="9:9" x14ac:dyDescent="0.2">
      <c r="I536" s="18"/>
    </row>
    <row r="537" spans="9:9" x14ac:dyDescent="0.2">
      <c r="I537" s="18"/>
    </row>
    <row r="538" spans="9:9" x14ac:dyDescent="0.2">
      <c r="I538" s="18"/>
    </row>
    <row r="539" spans="9:9" x14ac:dyDescent="0.2">
      <c r="I539" s="18"/>
    </row>
    <row r="540" spans="9:9" x14ac:dyDescent="0.2">
      <c r="I540" s="18"/>
    </row>
    <row r="541" spans="9:9" x14ac:dyDescent="0.2">
      <c r="I541" s="18"/>
    </row>
    <row r="542" spans="9:9" x14ac:dyDescent="0.2">
      <c r="I542" s="18"/>
    </row>
    <row r="543" spans="9:9" x14ac:dyDescent="0.2">
      <c r="I543" s="18"/>
    </row>
    <row r="544" spans="9:9" x14ac:dyDescent="0.2">
      <c r="I544" s="18"/>
    </row>
    <row r="545" spans="9:9" x14ac:dyDescent="0.2">
      <c r="I545" s="18"/>
    </row>
    <row r="546" spans="9:9" x14ac:dyDescent="0.2">
      <c r="I546" s="18"/>
    </row>
    <row r="547" spans="9:9" x14ac:dyDescent="0.2">
      <c r="I547" s="18"/>
    </row>
    <row r="548" spans="9:9" x14ac:dyDescent="0.2">
      <c r="I548" s="18"/>
    </row>
    <row r="549" spans="9:9" x14ac:dyDescent="0.2">
      <c r="I549" s="18"/>
    </row>
    <row r="550" spans="9:9" x14ac:dyDescent="0.2">
      <c r="I550" s="18"/>
    </row>
    <row r="551" spans="9:9" x14ac:dyDescent="0.2">
      <c r="I551" s="18"/>
    </row>
    <row r="552" spans="9:9" x14ac:dyDescent="0.2">
      <c r="I552" s="18"/>
    </row>
    <row r="553" spans="9:9" x14ac:dyDescent="0.2">
      <c r="I553" s="18"/>
    </row>
    <row r="554" spans="9:9" x14ac:dyDescent="0.2">
      <c r="I554" s="18"/>
    </row>
    <row r="555" spans="9:9" x14ac:dyDescent="0.2">
      <c r="I555" s="18"/>
    </row>
    <row r="556" spans="9:9" x14ac:dyDescent="0.2">
      <c r="I556" s="18"/>
    </row>
    <row r="557" spans="9:9" x14ac:dyDescent="0.2">
      <c r="I557" s="18"/>
    </row>
    <row r="558" spans="9:9" x14ac:dyDescent="0.2">
      <c r="I558" s="18"/>
    </row>
    <row r="559" spans="9:9" x14ac:dyDescent="0.2">
      <c r="I559" s="18"/>
    </row>
    <row r="560" spans="9:9" x14ac:dyDescent="0.2">
      <c r="I560" s="18"/>
    </row>
    <row r="561" spans="9:9" x14ac:dyDescent="0.2">
      <c r="I561" s="18"/>
    </row>
    <row r="562" spans="9:9" x14ac:dyDescent="0.2">
      <c r="I562" s="18"/>
    </row>
    <row r="563" spans="9:9" x14ac:dyDescent="0.2">
      <c r="I563" s="18"/>
    </row>
    <row r="564" spans="9:9" x14ac:dyDescent="0.2">
      <c r="I564" s="18"/>
    </row>
    <row r="565" spans="9:9" x14ac:dyDescent="0.2">
      <c r="I565" s="18"/>
    </row>
    <row r="566" spans="9:9" x14ac:dyDescent="0.2">
      <c r="I566" s="18"/>
    </row>
    <row r="567" spans="9:9" x14ac:dyDescent="0.2">
      <c r="I567" s="18"/>
    </row>
    <row r="568" spans="9:9" x14ac:dyDescent="0.2">
      <c r="I568" s="18"/>
    </row>
    <row r="569" spans="9:9" x14ac:dyDescent="0.2">
      <c r="I569" s="18"/>
    </row>
    <row r="570" spans="9:9" x14ac:dyDescent="0.2">
      <c r="I570" s="18"/>
    </row>
    <row r="571" spans="9:9" x14ac:dyDescent="0.2">
      <c r="I571" s="18"/>
    </row>
    <row r="572" spans="9:9" x14ac:dyDescent="0.2">
      <c r="I572" s="18"/>
    </row>
    <row r="573" spans="9:9" x14ac:dyDescent="0.2">
      <c r="I573" s="18"/>
    </row>
    <row r="574" spans="9:9" x14ac:dyDescent="0.2">
      <c r="I574" s="18"/>
    </row>
    <row r="575" spans="9:9" x14ac:dyDescent="0.2">
      <c r="I575" s="18"/>
    </row>
    <row r="576" spans="9:9" x14ac:dyDescent="0.2">
      <c r="I576" s="18"/>
    </row>
    <row r="577" spans="9:9" x14ac:dyDescent="0.2">
      <c r="I577" s="18"/>
    </row>
    <row r="578" spans="9:9" x14ac:dyDescent="0.2">
      <c r="I578" s="18"/>
    </row>
    <row r="579" spans="9:9" x14ac:dyDescent="0.2">
      <c r="I579" s="18"/>
    </row>
    <row r="580" spans="9:9" x14ac:dyDescent="0.2">
      <c r="I580" s="18"/>
    </row>
    <row r="581" spans="9:9" x14ac:dyDescent="0.2">
      <c r="I581" s="18"/>
    </row>
    <row r="582" spans="9:9" x14ac:dyDescent="0.2">
      <c r="I582" s="18"/>
    </row>
    <row r="583" spans="9:9" x14ac:dyDescent="0.2">
      <c r="I583" s="18"/>
    </row>
    <row r="584" spans="9:9" x14ac:dyDescent="0.2">
      <c r="I584" s="18"/>
    </row>
    <row r="585" spans="9:9" x14ac:dyDescent="0.2">
      <c r="I585" s="18"/>
    </row>
    <row r="586" spans="9:9" x14ac:dyDescent="0.2">
      <c r="I586" s="18"/>
    </row>
    <row r="587" spans="9:9" x14ac:dyDescent="0.2">
      <c r="I587" s="18"/>
    </row>
    <row r="588" spans="9:9" x14ac:dyDescent="0.2">
      <c r="I588" s="18"/>
    </row>
    <row r="589" spans="9:9" x14ac:dyDescent="0.2">
      <c r="I589" s="18"/>
    </row>
    <row r="590" spans="9:9" x14ac:dyDescent="0.2">
      <c r="I590" s="18"/>
    </row>
    <row r="591" spans="9:9" x14ac:dyDescent="0.2">
      <c r="I591" s="18"/>
    </row>
    <row r="592" spans="9:9" x14ac:dyDescent="0.2">
      <c r="I592" s="18"/>
    </row>
    <row r="593" spans="9:9" x14ac:dyDescent="0.2">
      <c r="I593" s="18"/>
    </row>
    <row r="594" spans="9:9" x14ac:dyDescent="0.2">
      <c r="I594" s="18"/>
    </row>
    <row r="595" spans="9:9" x14ac:dyDescent="0.2">
      <c r="I595" s="18"/>
    </row>
    <row r="596" spans="9:9" x14ac:dyDescent="0.2">
      <c r="I596" s="18"/>
    </row>
    <row r="597" spans="9:9" x14ac:dyDescent="0.2">
      <c r="I597" s="18"/>
    </row>
    <row r="598" spans="9:9" x14ac:dyDescent="0.2">
      <c r="I598" s="18"/>
    </row>
    <row r="599" spans="9:9" x14ac:dyDescent="0.2">
      <c r="I599" s="18"/>
    </row>
    <row r="600" spans="9:9" x14ac:dyDescent="0.2">
      <c r="I600" s="18"/>
    </row>
    <row r="601" spans="9:9" x14ac:dyDescent="0.2">
      <c r="I601" s="18"/>
    </row>
    <row r="602" spans="9:9" x14ac:dyDescent="0.2">
      <c r="I602" s="18"/>
    </row>
    <row r="603" spans="9:9" x14ac:dyDescent="0.2">
      <c r="I603" s="18"/>
    </row>
    <row r="604" spans="9:9" x14ac:dyDescent="0.2">
      <c r="I604" s="18"/>
    </row>
    <row r="605" spans="9:9" x14ac:dyDescent="0.2">
      <c r="I605" s="18"/>
    </row>
    <row r="606" spans="9:9" x14ac:dyDescent="0.2">
      <c r="I606" s="18"/>
    </row>
    <row r="607" spans="9:9" x14ac:dyDescent="0.2">
      <c r="I607" s="18"/>
    </row>
    <row r="608" spans="9:9" x14ac:dyDescent="0.2">
      <c r="I608" s="18"/>
    </row>
    <row r="609" spans="9:9" x14ac:dyDescent="0.2">
      <c r="I609" s="18"/>
    </row>
    <row r="610" spans="9:9" x14ac:dyDescent="0.2">
      <c r="I610" s="18"/>
    </row>
    <row r="611" spans="9:9" x14ac:dyDescent="0.2">
      <c r="I611" s="18"/>
    </row>
    <row r="612" spans="9:9" x14ac:dyDescent="0.2">
      <c r="I612" s="18"/>
    </row>
    <row r="613" spans="9:9" x14ac:dyDescent="0.2">
      <c r="I613" s="18"/>
    </row>
    <row r="614" spans="9:9" x14ac:dyDescent="0.2">
      <c r="I614" s="18"/>
    </row>
    <row r="615" spans="9:9" x14ac:dyDescent="0.2">
      <c r="I615" s="18"/>
    </row>
    <row r="616" spans="9:9" x14ac:dyDescent="0.2">
      <c r="I616" s="18"/>
    </row>
    <row r="617" spans="9:9" x14ac:dyDescent="0.2">
      <c r="I617" s="18"/>
    </row>
    <row r="618" spans="9:9" x14ac:dyDescent="0.2">
      <c r="I618" s="18"/>
    </row>
    <row r="619" spans="9:9" x14ac:dyDescent="0.2">
      <c r="I619" s="18"/>
    </row>
    <row r="620" spans="9:9" x14ac:dyDescent="0.2">
      <c r="I620" s="18"/>
    </row>
    <row r="621" spans="9:9" x14ac:dyDescent="0.2">
      <c r="I621" s="18"/>
    </row>
    <row r="622" spans="9:9" x14ac:dyDescent="0.2">
      <c r="I622" s="18"/>
    </row>
    <row r="623" spans="9:9" x14ac:dyDescent="0.2">
      <c r="I623" s="18"/>
    </row>
    <row r="624" spans="9:9" x14ac:dyDescent="0.2">
      <c r="I624" s="18"/>
    </row>
    <row r="625" spans="9:9" x14ac:dyDescent="0.2">
      <c r="I625" s="18"/>
    </row>
    <row r="626" spans="9:9" x14ac:dyDescent="0.2">
      <c r="I626" s="18"/>
    </row>
    <row r="627" spans="9:9" x14ac:dyDescent="0.2">
      <c r="I627" s="18"/>
    </row>
    <row r="628" spans="9:9" x14ac:dyDescent="0.2">
      <c r="I628" s="18"/>
    </row>
    <row r="629" spans="9:9" x14ac:dyDescent="0.2">
      <c r="I629" s="18"/>
    </row>
    <row r="630" spans="9:9" x14ac:dyDescent="0.2">
      <c r="I630" s="18"/>
    </row>
    <row r="631" spans="9:9" x14ac:dyDescent="0.2">
      <c r="I631" s="18"/>
    </row>
    <row r="632" spans="9:9" x14ac:dyDescent="0.2">
      <c r="I632" s="18"/>
    </row>
    <row r="633" spans="9:9" x14ac:dyDescent="0.2">
      <c r="I633" s="18"/>
    </row>
    <row r="634" spans="9:9" x14ac:dyDescent="0.2">
      <c r="I634" s="18"/>
    </row>
    <row r="635" spans="9:9" x14ac:dyDescent="0.2">
      <c r="I635" s="18"/>
    </row>
    <row r="636" spans="9:9" x14ac:dyDescent="0.2">
      <c r="I636" s="18"/>
    </row>
    <row r="637" spans="9:9" x14ac:dyDescent="0.2">
      <c r="I637" s="18"/>
    </row>
    <row r="638" spans="9:9" x14ac:dyDescent="0.2">
      <c r="I638" s="18"/>
    </row>
    <row r="639" spans="9:9" x14ac:dyDescent="0.2">
      <c r="I639" s="18"/>
    </row>
    <row r="640" spans="9:9" x14ac:dyDescent="0.2">
      <c r="I640" s="18"/>
    </row>
    <row r="641" spans="9:9" x14ac:dyDescent="0.2">
      <c r="I641" s="18"/>
    </row>
    <row r="642" spans="9:9" x14ac:dyDescent="0.2">
      <c r="I642" s="18"/>
    </row>
    <row r="643" spans="9:9" x14ac:dyDescent="0.2">
      <c r="I643" s="18"/>
    </row>
    <row r="644" spans="9:9" x14ac:dyDescent="0.2">
      <c r="I644" s="18"/>
    </row>
    <row r="645" spans="9:9" x14ac:dyDescent="0.2">
      <c r="I645" s="18"/>
    </row>
    <row r="646" spans="9:9" x14ac:dyDescent="0.2">
      <c r="I646" s="18"/>
    </row>
    <row r="647" spans="9:9" x14ac:dyDescent="0.2">
      <c r="I647" s="18"/>
    </row>
    <row r="648" spans="9:9" x14ac:dyDescent="0.2">
      <c r="I648" s="18"/>
    </row>
    <row r="649" spans="9:9" x14ac:dyDescent="0.2">
      <c r="I649" s="18"/>
    </row>
    <row r="650" spans="9:9" x14ac:dyDescent="0.2">
      <c r="I650" s="18"/>
    </row>
    <row r="651" spans="9:9" x14ac:dyDescent="0.2">
      <c r="I651" s="18"/>
    </row>
    <row r="652" spans="9:9" x14ac:dyDescent="0.2">
      <c r="I652" s="18"/>
    </row>
    <row r="653" spans="9:9" x14ac:dyDescent="0.2">
      <c r="I653" s="18"/>
    </row>
    <row r="654" spans="9:9" x14ac:dyDescent="0.2">
      <c r="I654" s="18"/>
    </row>
    <row r="655" spans="9:9" x14ac:dyDescent="0.2">
      <c r="I655" s="18"/>
    </row>
    <row r="656" spans="9:9" x14ac:dyDescent="0.2">
      <c r="I656" s="18"/>
    </row>
    <row r="657" spans="9:9" x14ac:dyDescent="0.2">
      <c r="I657" s="18"/>
    </row>
    <row r="658" spans="9:9" x14ac:dyDescent="0.2">
      <c r="I658" s="18"/>
    </row>
    <row r="659" spans="9:9" x14ac:dyDescent="0.2">
      <c r="I659" s="18"/>
    </row>
    <row r="660" spans="9:9" x14ac:dyDescent="0.2">
      <c r="I660" s="18"/>
    </row>
    <row r="661" spans="9:9" x14ac:dyDescent="0.2">
      <c r="I661" s="18"/>
    </row>
    <row r="662" spans="9:9" x14ac:dyDescent="0.2">
      <c r="I662" s="18"/>
    </row>
    <row r="663" spans="9:9" x14ac:dyDescent="0.2">
      <c r="I663" s="18"/>
    </row>
    <row r="664" spans="9:9" x14ac:dyDescent="0.2">
      <c r="I664" s="18"/>
    </row>
    <row r="665" spans="9:9" x14ac:dyDescent="0.2">
      <c r="I665" s="18"/>
    </row>
    <row r="666" spans="9:9" x14ac:dyDescent="0.2">
      <c r="I666" s="18"/>
    </row>
    <row r="667" spans="9:9" x14ac:dyDescent="0.2">
      <c r="I667" s="18"/>
    </row>
    <row r="668" spans="9:9" x14ac:dyDescent="0.2">
      <c r="I668" s="18"/>
    </row>
    <row r="669" spans="9:9" x14ac:dyDescent="0.2">
      <c r="I669" s="18"/>
    </row>
    <row r="670" spans="9:9" x14ac:dyDescent="0.2">
      <c r="I670" s="18"/>
    </row>
    <row r="671" spans="9:9" x14ac:dyDescent="0.2">
      <c r="I671" s="18"/>
    </row>
    <row r="672" spans="9:9" x14ac:dyDescent="0.2">
      <c r="I672" s="18"/>
    </row>
    <row r="673" spans="9:9" x14ac:dyDescent="0.2">
      <c r="I673" s="18"/>
    </row>
    <row r="674" spans="9:9" x14ac:dyDescent="0.2">
      <c r="I674" s="18"/>
    </row>
    <row r="675" spans="9:9" x14ac:dyDescent="0.2">
      <c r="I675" s="18"/>
    </row>
    <row r="676" spans="9:9" x14ac:dyDescent="0.2">
      <c r="I676" s="18"/>
    </row>
    <row r="677" spans="9:9" x14ac:dyDescent="0.2">
      <c r="I677" s="18"/>
    </row>
    <row r="678" spans="9:9" x14ac:dyDescent="0.2">
      <c r="I678" s="18"/>
    </row>
    <row r="679" spans="9:9" x14ac:dyDescent="0.2">
      <c r="I679" s="18"/>
    </row>
    <row r="680" spans="9:9" x14ac:dyDescent="0.2">
      <c r="I680" s="18"/>
    </row>
    <row r="681" spans="9:9" x14ac:dyDescent="0.2">
      <c r="I681" s="18"/>
    </row>
    <row r="682" spans="9:9" x14ac:dyDescent="0.2">
      <c r="I682" s="18"/>
    </row>
    <row r="683" spans="9:9" x14ac:dyDescent="0.2">
      <c r="I683" s="18"/>
    </row>
    <row r="684" spans="9:9" x14ac:dyDescent="0.2">
      <c r="I684" s="18"/>
    </row>
    <row r="685" spans="9:9" x14ac:dyDescent="0.2">
      <c r="I685" s="18"/>
    </row>
    <row r="686" spans="9:9" x14ac:dyDescent="0.2">
      <c r="I686" s="18"/>
    </row>
    <row r="687" spans="9:9" x14ac:dyDescent="0.2">
      <c r="I687" s="18"/>
    </row>
    <row r="688" spans="9:9" x14ac:dyDescent="0.2">
      <c r="I688" s="18"/>
    </row>
    <row r="689" spans="9:9" x14ac:dyDescent="0.2">
      <c r="I689" s="18"/>
    </row>
    <row r="690" spans="9:9" x14ac:dyDescent="0.2">
      <c r="I690" s="18"/>
    </row>
    <row r="691" spans="9:9" x14ac:dyDescent="0.2">
      <c r="I691" s="18"/>
    </row>
    <row r="692" spans="9:9" x14ac:dyDescent="0.2">
      <c r="I692" s="18"/>
    </row>
    <row r="693" spans="9:9" x14ac:dyDescent="0.2">
      <c r="I693" s="18"/>
    </row>
    <row r="694" spans="9:9" x14ac:dyDescent="0.2">
      <c r="I694" s="18"/>
    </row>
    <row r="695" spans="9:9" x14ac:dyDescent="0.2">
      <c r="I695" s="18"/>
    </row>
    <row r="696" spans="9:9" x14ac:dyDescent="0.2">
      <c r="I696" s="18"/>
    </row>
    <row r="697" spans="9:9" x14ac:dyDescent="0.2">
      <c r="I697" s="18"/>
    </row>
    <row r="698" spans="9:9" x14ac:dyDescent="0.2">
      <c r="I698" s="18"/>
    </row>
    <row r="699" spans="9:9" x14ac:dyDescent="0.2">
      <c r="I699" s="18"/>
    </row>
    <row r="700" spans="9:9" x14ac:dyDescent="0.2">
      <c r="I700" s="18"/>
    </row>
    <row r="701" spans="9:9" x14ac:dyDescent="0.2">
      <c r="I701" s="18"/>
    </row>
    <row r="702" spans="9:9" x14ac:dyDescent="0.2">
      <c r="I702" s="18"/>
    </row>
    <row r="703" spans="9:9" x14ac:dyDescent="0.2">
      <c r="I703" s="18"/>
    </row>
    <row r="704" spans="9:9" x14ac:dyDescent="0.2">
      <c r="I704" s="18"/>
    </row>
    <row r="705" spans="9:9" x14ac:dyDescent="0.2">
      <c r="I705" s="18"/>
    </row>
    <row r="706" spans="9:9" x14ac:dyDescent="0.2">
      <c r="I706" s="18"/>
    </row>
    <row r="707" spans="9:9" x14ac:dyDescent="0.2">
      <c r="I707" s="18"/>
    </row>
    <row r="708" spans="9:9" x14ac:dyDescent="0.2">
      <c r="I708" s="18"/>
    </row>
    <row r="709" spans="9:9" x14ac:dyDescent="0.2">
      <c r="I709" s="18"/>
    </row>
    <row r="710" spans="9:9" x14ac:dyDescent="0.2">
      <c r="I710" s="18"/>
    </row>
    <row r="711" spans="9:9" x14ac:dyDescent="0.2">
      <c r="I711" s="18"/>
    </row>
    <row r="712" spans="9:9" x14ac:dyDescent="0.2">
      <c r="I712" s="18"/>
    </row>
    <row r="713" spans="9:9" x14ac:dyDescent="0.2">
      <c r="I713" s="18"/>
    </row>
    <row r="714" spans="9:9" x14ac:dyDescent="0.2">
      <c r="I714" s="18"/>
    </row>
    <row r="715" spans="9:9" x14ac:dyDescent="0.2">
      <c r="I715" s="18"/>
    </row>
    <row r="716" spans="9:9" x14ac:dyDescent="0.2">
      <c r="I716" s="18"/>
    </row>
    <row r="717" spans="9:9" x14ac:dyDescent="0.2">
      <c r="I717" s="18"/>
    </row>
    <row r="718" spans="9:9" x14ac:dyDescent="0.2">
      <c r="I718" s="18"/>
    </row>
    <row r="719" spans="9:9" x14ac:dyDescent="0.2">
      <c r="I719" s="18"/>
    </row>
    <row r="720" spans="9:9" x14ac:dyDescent="0.2">
      <c r="I720" s="18"/>
    </row>
    <row r="721" spans="9:9" x14ac:dyDescent="0.2">
      <c r="I721" s="18"/>
    </row>
    <row r="722" spans="9:9" x14ac:dyDescent="0.2">
      <c r="I722" s="18"/>
    </row>
    <row r="723" spans="9:9" x14ac:dyDescent="0.2">
      <c r="I723" s="18"/>
    </row>
    <row r="724" spans="9:9" x14ac:dyDescent="0.2">
      <c r="I724" s="18"/>
    </row>
    <row r="725" spans="9:9" x14ac:dyDescent="0.2">
      <c r="I725" s="18"/>
    </row>
    <row r="726" spans="9:9" x14ac:dyDescent="0.2">
      <c r="I726" s="18"/>
    </row>
    <row r="727" spans="9:9" x14ac:dyDescent="0.2">
      <c r="I727" s="18"/>
    </row>
    <row r="728" spans="9:9" x14ac:dyDescent="0.2">
      <c r="I728" s="18"/>
    </row>
    <row r="729" spans="9:9" x14ac:dyDescent="0.2">
      <c r="I729" s="18"/>
    </row>
    <row r="730" spans="9:9" x14ac:dyDescent="0.2">
      <c r="I730" s="18"/>
    </row>
    <row r="731" spans="9:9" x14ac:dyDescent="0.2">
      <c r="I731" s="18"/>
    </row>
    <row r="732" spans="9:9" x14ac:dyDescent="0.2">
      <c r="I732" s="18"/>
    </row>
    <row r="733" spans="9:9" x14ac:dyDescent="0.2">
      <c r="I733" s="18"/>
    </row>
    <row r="734" spans="9:9" x14ac:dyDescent="0.2">
      <c r="I734" s="18"/>
    </row>
    <row r="735" spans="9:9" x14ac:dyDescent="0.2">
      <c r="I735" s="18"/>
    </row>
    <row r="736" spans="9:9" x14ac:dyDescent="0.2">
      <c r="I736" s="18"/>
    </row>
    <row r="737" spans="9:9" x14ac:dyDescent="0.2">
      <c r="I737" s="18"/>
    </row>
    <row r="738" spans="9:9" x14ac:dyDescent="0.2">
      <c r="I738" s="18"/>
    </row>
    <row r="739" spans="9:9" x14ac:dyDescent="0.2">
      <c r="I739" s="18"/>
    </row>
    <row r="740" spans="9:9" x14ac:dyDescent="0.2">
      <c r="I740" s="18"/>
    </row>
    <row r="741" spans="9:9" x14ac:dyDescent="0.2">
      <c r="I741" s="18"/>
    </row>
    <row r="742" spans="9:9" x14ac:dyDescent="0.2">
      <c r="I742" s="18"/>
    </row>
    <row r="743" spans="9:9" x14ac:dyDescent="0.2">
      <c r="I743" s="18"/>
    </row>
    <row r="744" spans="9:9" x14ac:dyDescent="0.2">
      <c r="I744" s="18"/>
    </row>
    <row r="745" spans="9:9" x14ac:dyDescent="0.2">
      <c r="I745" s="18"/>
    </row>
    <row r="746" spans="9:9" x14ac:dyDescent="0.2">
      <c r="I746" s="18"/>
    </row>
    <row r="747" spans="9:9" x14ac:dyDescent="0.2">
      <c r="I747" s="18"/>
    </row>
    <row r="748" spans="9:9" x14ac:dyDescent="0.2">
      <c r="I748" s="18"/>
    </row>
    <row r="749" spans="9:9" x14ac:dyDescent="0.2">
      <c r="I749" s="18"/>
    </row>
    <row r="750" spans="9:9" x14ac:dyDescent="0.2">
      <c r="I750" s="18"/>
    </row>
    <row r="751" spans="9:9" x14ac:dyDescent="0.2">
      <c r="I751" s="18"/>
    </row>
    <row r="752" spans="9:9" x14ac:dyDescent="0.2">
      <c r="I752" s="18"/>
    </row>
    <row r="753" spans="9:9" x14ac:dyDescent="0.2">
      <c r="I753" s="18"/>
    </row>
    <row r="754" spans="9:9" x14ac:dyDescent="0.2">
      <c r="I754" s="18"/>
    </row>
    <row r="755" spans="9:9" x14ac:dyDescent="0.2">
      <c r="I755" s="18"/>
    </row>
    <row r="756" spans="9:9" x14ac:dyDescent="0.2">
      <c r="I756" s="18"/>
    </row>
    <row r="757" spans="9:9" x14ac:dyDescent="0.2">
      <c r="I757" s="18"/>
    </row>
    <row r="758" spans="9:9" x14ac:dyDescent="0.2">
      <c r="I758" s="18"/>
    </row>
    <row r="759" spans="9:9" x14ac:dyDescent="0.2">
      <c r="I759" s="18"/>
    </row>
    <row r="760" spans="9:9" x14ac:dyDescent="0.2">
      <c r="I760" s="18"/>
    </row>
    <row r="761" spans="9:9" x14ac:dyDescent="0.2">
      <c r="I761" s="18"/>
    </row>
    <row r="762" spans="9:9" x14ac:dyDescent="0.2">
      <c r="I762" s="18"/>
    </row>
    <row r="763" spans="9:9" x14ac:dyDescent="0.2">
      <c r="I763" s="18"/>
    </row>
    <row r="764" spans="9:9" x14ac:dyDescent="0.2">
      <c r="I764" s="18"/>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O20"/>
  <sheetViews>
    <sheetView topLeftCell="B4" workbookViewId="0">
      <selection activeCell="I11" sqref="I11"/>
    </sheetView>
  </sheetViews>
  <sheetFormatPr defaultRowHeight="12.75" x14ac:dyDescent="0.2"/>
  <cols>
    <col min="2" max="2" width="32.85546875" bestFit="1" customWidth="1"/>
    <col min="3" max="3" width="3.28515625" bestFit="1" customWidth="1"/>
    <col min="4" max="4" width="27.7109375" bestFit="1" customWidth="1"/>
    <col min="5" max="5" width="3.28515625" bestFit="1" customWidth="1"/>
    <col min="6" max="6" width="27.7109375" bestFit="1" customWidth="1"/>
    <col min="7" max="7" width="3.28515625" bestFit="1" customWidth="1"/>
    <col min="12" max="12" width="31.28515625" bestFit="1" customWidth="1"/>
    <col min="14" max="14" width="50.5703125" bestFit="1" customWidth="1"/>
  </cols>
  <sheetData>
    <row r="1" spans="1:15" ht="39" thickBot="1" x14ac:dyDescent="0.25">
      <c r="A1" t="s">
        <v>382</v>
      </c>
      <c r="B1" s="83" t="s">
        <v>209</v>
      </c>
      <c r="C1" t="s">
        <v>210</v>
      </c>
      <c r="D1" s="83" t="s">
        <v>209</v>
      </c>
      <c r="E1" t="s">
        <v>210</v>
      </c>
      <c r="F1" s="83" t="s">
        <v>209</v>
      </c>
      <c r="G1" t="s">
        <v>210</v>
      </c>
      <c r="J1" t="s">
        <v>289</v>
      </c>
      <c r="L1" t="s">
        <v>290</v>
      </c>
      <c r="N1" s="101" t="s">
        <v>291</v>
      </c>
      <c r="O1" t="s">
        <v>210</v>
      </c>
    </row>
    <row r="2" spans="1:15" ht="26.25" thickBot="1" x14ac:dyDescent="0.25">
      <c r="A2" t="s">
        <v>383</v>
      </c>
      <c r="B2" s="84" t="s">
        <v>211</v>
      </c>
      <c r="C2" t="s">
        <v>212</v>
      </c>
      <c r="D2" s="84" t="s">
        <v>211</v>
      </c>
      <c r="E2" t="s">
        <v>212</v>
      </c>
      <c r="F2" s="84" t="s">
        <v>211</v>
      </c>
      <c r="G2" t="s">
        <v>212</v>
      </c>
      <c r="J2" t="s">
        <v>292</v>
      </c>
      <c r="L2" t="s">
        <v>293</v>
      </c>
      <c r="N2" s="101" t="s">
        <v>294</v>
      </c>
      <c r="O2" t="s">
        <v>220</v>
      </c>
    </row>
    <row r="3" spans="1:15" ht="39" thickBot="1" x14ac:dyDescent="0.25">
      <c r="A3" t="s">
        <v>382</v>
      </c>
      <c r="B3" s="84" t="s">
        <v>213</v>
      </c>
      <c r="C3" t="s">
        <v>214</v>
      </c>
      <c r="D3" s="84" t="s">
        <v>215</v>
      </c>
      <c r="E3" t="s">
        <v>216</v>
      </c>
      <c r="F3" s="84" t="s">
        <v>215</v>
      </c>
      <c r="G3" t="s">
        <v>216</v>
      </c>
      <c r="J3" t="s">
        <v>295</v>
      </c>
      <c r="L3" t="s">
        <v>296</v>
      </c>
      <c r="N3" s="101" t="s">
        <v>297</v>
      </c>
      <c r="O3" t="s">
        <v>298</v>
      </c>
    </row>
    <row r="4" spans="1:15" ht="39" thickBot="1" x14ac:dyDescent="0.25">
      <c r="A4" t="s">
        <v>7</v>
      </c>
      <c r="B4" s="84" t="s">
        <v>215</v>
      </c>
      <c r="C4" t="s">
        <v>216</v>
      </c>
      <c r="D4" s="84" t="s">
        <v>217</v>
      </c>
      <c r="E4" t="s">
        <v>218</v>
      </c>
      <c r="F4" s="84" t="s">
        <v>217</v>
      </c>
      <c r="G4" t="s">
        <v>218</v>
      </c>
      <c r="J4" t="s">
        <v>299</v>
      </c>
      <c r="L4" t="s">
        <v>300</v>
      </c>
      <c r="N4" s="101" t="s">
        <v>301</v>
      </c>
      <c r="O4" t="s">
        <v>257</v>
      </c>
    </row>
    <row r="5" spans="1:15" ht="26.25" thickBot="1" x14ac:dyDescent="0.25">
      <c r="A5" t="s">
        <v>382</v>
      </c>
      <c r="B5" s="84" t="s">
        <v>217</v>
      </c>
      <c r="C5" t="s">
        <v>218</v>
      </c>
      <c r="D5" s="84" t="s">
        <v>219</v>
      </c>
      <c r="E5" t="s">
        <v>220</v>
      </c>
      <c r="F5" s="84" t="s">
        <v>219</v>
      </c>
      <c r="G5" t="s">
        <v>220</v>
      </c>
      <c r="J5" t="s">
        <v>302</v>
      </c>
      <c r="L5" t="s">
        <v>303</v>
      </c>
    </row>
    <row r="6" spans="1:15" ht="26.25" thickBot="1" x14ac:dyDescent="0.25">
      <c r="A6" t="s">
        <v>382</v>
      </c>
      <c r="B6" s="84" t="s">
        <v>219</v>
      </c>
      <c r="C6" t="s">
        <v>220</v>
      </c>
      <c r="D6" s="85" t="s">
        <v>221</v>
      </c>
      <c r="E6" t="s">
        <v>222</v>
      </c>
      <c r="F6" s="86" t="s">
        <v>223</v>
      </c>
      <c r="G6" t="s">
        <v>224</v>
      </c>
      <c r="J6" t="s">
        <v>304</v>
      </c>
      <c r="L6" t="s">
        <v>305</v>
      </c>
      <c r="N6" t="s">
        <v>306</v>
      </c>
      <c r="O6" t="s">
        <v>307</v>
      </c>
    </row>
    <row r="7" spans="1:15" ht="51.75" thickBot="1" x14ac:dyDescent="0.25">
      <c r="A7" t="s">
        <v>384</v>
      </c>
      <c r="B7" s="87" t="s">
        <v>225</v>
      </c>
      <c r="C7" t="s">
        <v>222</v>
      </c>
      <c r="D7" s="86" t="s">
        <v>226</v>
      </c>
      <c r="E7" t="s">
        <v>224</v>
      </c>
      <c r="F7" s="84" t="s">
        <v>227</v>
      </c>
      <c r="G7" t="s">
        <v>228</v>
      </c>
      <c r="J7" t="s">
        <v>308</v>
      </c>
      <c r="L7" t="s">
        <v>309</v>
      </c>
      <c r="N7" t="s">
        <v>310</v>
      </c>
      <c r="O7" t="s">
        <v>235</v>
      </c>
    </row>
    <row r="8" spans="1:15" ht="51" x14ac:dyDescent="0.2">
      <c r="B8" s="86" t="s">
        <v>229</v>
      </c>
      <c r="C8" t="s">
        <v>224</v>
      </c>
      <c r="D8" s="84" t="s">
        <v>227</v>
      </c>
      <c r="E8" t="s">
        <v>228</v>
      </c>
      <c r="F8" s="84" t="s">
        <v>230</v>
      </c>
      <c r="G8" t="s">
        <v>231</v>
      </c>
      <c r="J8" t="s">
        <v>311</v>
      </c>
      <c r="N8" t="s">
        <v>312</v>
      </c>
      <c r="O8" t="s">
        <v>228</v>
      </c>
    </row>
    <row r="9" spans="1:15" ht="39" thickBot="1" x14ac:dyDescent="0.25">
      <c r="B9" s="84" t="s">
        <v>227</v>
      </c>
      <c r="C9" t="s">
        <v>228</v>
      </c>
      <c r="D9" s="84" t="s">
        <v>230</v>
      </c>
      <c r="E9" t="s">
        <v>231</v>
      </c>
      <c r="F9" s="87" t="s">
        <v>232</v>
      </c>
      <c r="G9" t="s">
        <v>233</v>
      </c>
      <c r="J9" t="s">
        <v>313</v>
      </c>
      <c r="L9" t="s">
        <v>289</v>
      </c>
      <c r="N9" t="s">
        <v>314</v>
      </c>
      <c r="O9" t="s">
        <v>231</v>
      </c>
    </row>
    <row r="10" spans="1:15" ht="39" thickBot="1" x14ac:dyDescent="0.25">
      <c r="B10" s="84" t="s">
        <v>230</v>
      </c>
      <c r="C10" t="s">
        <v>231</v>
      </c>
      <c r="D10" s="87" t="s">
        <v>232</v>
      </c>
      <c r="E10" t="s">
        <v>233</v>
      </c>
      <c r="F10" s="86" t="s">
        <v>234</v>
      </c>
      <c r="G10" t="s">
        <v>235</v>
      </c>
      <c r="J10" t="s">
        <v>315</v>
      </c>
      <c r="L10" t="s">
        <v>316</v>
      </c>
    </row>
    <row r="11" spans="1:15" ht="51.75" thickBot="1" x14ac:dyDescent="0.25">
      <c r="B11" s="87" t="s">
        <v>232</v>
      </c>
      <c r="C11" t="s">
        <v>233</v>
      </c>
      <c r="D11" s="86" t="s">
        <v>234</v>
      </c>
      <c r="E11" t="s">
        <v>235</v>
      </c>
      <c r="F11" s="84" t="s">
        <v>236</v>
      </c>
      <c r="G11" t="s">
        <v>237</v>
      </c>
      <c r="L11" t="s">
        <v>317</v>
      </c>
      <c r="N11" t="s">
        <v>318</v>
      </c>
      <c r="O11" t="s">
        <v>237</v>
      </c>
    </row>
    <row r="12" spans="1:15" ht="51.75" thickBot="1" x14ac:dyDescent="0.25">
      <c r="B12" s="83" t="s">
        <v>238</v>
      </c>
      <c r="C12" t="s">
        <v>235</v>
      </c>
      <c r="D12" s="84" t="s">
        <v>236</v>
      </c>
      <c r="E12" t="s">
        <v>237</v>
      </c>
      <c r="F12" s="87" t="s">
        <v>239</v>
      </c>
      <c r="G12" t="s">
        <v>240</v>
      </c>
      <c r="N12" t="s">
        <v>319</v>
      </c>
      <c r="O12" t="s">
        <v>242</v>
      </c>
    </row>
    <row r="13" spans="1:15" ht="39" thickBot="1" x14ac:dyDescent="0.25">
      <c r="B13" s="84" t="s">
        <v>236</v>
      </c>
      <c r="C13" t="s">
        <v>237</v>
      </c>
      <c r="D13" s="87" t="s">
        <v>239</v>
      </c>
      <c r="E13" t="s">
        <v>240</v>
      </c>
      <c r="F13" s="88" t="s">
        <v>241</v>
      </c>
      <c r="G13" t="s">
        <v>242</v>
      </c>
      <c r="N13" t="s">
        <v>320</v>
      </c>
      <c r="O13" t="s">
        <v>246</v>
      </c>
    </row>
    <row r="14" spans="1:15" ht="39" thickBot="1" x14ac:dyDescent="0.25">
      <c r="B14" s="87" t="s">
        <v>239</v>
      </c>
      <c r="C14" t="s">
        <v>240</v>
      </c>
      <c r="D14" s="88" t="s">
        <v>241</v>
      </c>
      <c r="E14" t="s">
        <v>242</v>
      </c>
      <c r="F14" s="88" t="s">
        <v>243</v>
      </c>
      <c r="G14" t="s">
        <v>244</v>
      </c>
      <c r="N14" t="s">
        <v>321</v>
      </c>
      <c r="O14" t="s">
        <v>244</v>
      </c>
    </row>
    <row r="15" spans="1:15" ht="38.25" x14ac:dyDescent="0.2">
      <c r="B15" s="88" t="s">
        <v>241</v>
      </c>
      <c r="C15" t="s">
        <v>242</v>
      </c>
      <c r="D15" s="88" t="s">
        <v>243</v>
      </c>
      <c r="E15" t="s">
        <v>244</v>
      </c>
      <c r="F15" s="88" t="s">
        <v>245</v>
      </c>
      <c r="G15" t="s">
        <v>246</v>
      </c>
      <c r="N15" t="s">
        <v>322</v>
      </c>
      <c r="O15" t="s">
        <v>240</v>
      </c>
    </row>
    <row r="16" spans="1:15" ht="39" thickBot="1" x14ac:dyDescent="0.25">
      <c r="B16" s="88" t="s">
        <v>243</v>
      </c>
      <c r="C16" t="s">
        <v>244</v>
      </c>
      <c r="D16" s="88" t="s">
        <v>245</v>
      </c>
      <c r="E16" t="s">
        <v>246</v>
      </c>
      <c r="F16" s="89" t="s">
        <v>247</v>
      </c>
      <c r="G16" t="s">
        <v>248</v>
      </c>
      <c r="N16" t="s">
        <v>323</v>
      </c>
      <c r="O16" t="s">
        <v>324</v>
      </c>
    </row>
    <row r="17" spans="2:15" ht="39" thickBot="1" x14ac:dyDescent="0.25">
      <c r="B17" s="88" t="s">
        <v>245</v>
      </c>
      <c r="C17" t="s">
        <v>246</v>
      </c>
      <c r="D17" s="89" t="s">
        <v>247</v>
      </c>
      <c r="E17" t="s">
        <v>248</v>
      </c>
      <c r="F17" s="83" t="s">
        <v>249</v>
      </c>
      <c r="G17" t="s">
        <v>250</v>
      </c>
      <c r="N17" t="s">
        <v>325</v>
      </c>
      <c r="O17" t="s">
        <v>252</v>
      </c>
    </row>
    <row r="18" spans="2:15" ht="25.5" x14ac:dyDescent="0.25">
      <c r="B18" s="89" t="s">
        <v>247</v>
      </c>
      <c r="C18" t="s">
        <v>248</v>
      </c>
      <c r="D18" s="83" t="s">
        <v>251</v>
      </c>
      <c r="E18" t="s">
        <v>252</v>
      </c>
      <c r="F18" s="84" t="s">
        <v>253</v>
      </c>
      <c r="G18" t="s">
        <v>254</v>
      </c>
      <c r="N18" s="102" t="s">
        <v>326</v>
      </c>
      <c r="O18" t="s">
        <v>327</v>
      </c>
    </row>
    <row r="19" spans="2:15" ht="25.5" x14ac:dyDescent="0.2">
      <c r="B19" s="90" t="s">
        <v>255</v>
      </c>
      <c r="C19" t="s">
        <v>252</v>
      </c>
      <c r="D19" s="84" t="s">
        <v>253</v>
      </c>
      <c r="E19" t="s">
        <v>254</v>
      </c>
      <c r="F19" s="90" t="s">
        <v>256</v>
      </c>
      <c r="G19" t="s">
        <v>257</v>
      </c>
      <c r="N19" t="s">
        <v>328</v>
      </c>
      <c r="O19" t="s">
        <v>222</v>
      </c>
    </row>
    <row r="20" spans="2:15" x14ac:dyDescent="0.2">
      <c r="B20" s="90" t="s">
        <v>256</v>
      </c>
      <c r="C20" t="s">
        <v>257</v>
      </c>
      <c r="D20" s="90" t="s">
        <v>256</v>
      </c>
      <c r="E20" t="s">
        <v>257</v>
      </c>
    </row>
  </sheetData>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F27"/>
  <sheetViews>
    <sheetView topLeftCell="B1" workbookViewId="0">
      <selection activeCell="F26" sqref="F26"/>
    </sheetView>
  </sheetViews>
  <sheetFormatPr defaultRowHeight="12.75" x14ac:dyDescent="0.2"/>
  <cols>
    <col min="1" max="1" width="26.7109375" style="132" bestFit="1" customWidth="1"/>
    <col min="2" max="2" width="50.5703125" style="132" bestFit="1" customWidth="1"/>
    <col min="3" max="5" width="60.140625" style="132" bestFit="1" customWidth="1"/>
  </cols>
  <sheetData>
    <row r="1" spans="1:6" ht="13.5" thickBot="1" x14ac:dyDescent="0.25">
      <c r="A1" s="128" t="s">
        <v>392</v>
      </c>
      <c r="B1" s="128" t="s">
        <v>393</v>
      </c>
      <c r="C1" s="128" t="s">
        <v>434</v>
      </c>
      <c r="D1" s="128" t="s">
        <v>395</v>
      </c>
      <c r="E1" s="128" t="s">
        <v>396</v>
      </c>
    </row>
    <row r="2" spans="1:6" x14ac:dyDescent="0.2">
      <c r="A2" s="377" t="s">
        <v>397</v>
      </c>
      <c r="B2" s="386" t="s">
        <v>326</v>
      </c>
      <c r="C2" s="129" t="s">
        <v>211</v>
      </c>
      <c r="D2" s="129" t="s">
        <v>211</v>
      </c>
      <c r="E2" s="129" t="s">
        <v>211</v>
      </c>
      <c r="F2" t="s">
        <v>327</v>
      </c>
    </row>
    <row r="3" spans="1:6" ht="13.5" thickBot="1" x14ac:dyDescent="0.25">
      <c r="A3" s="378"/>
      <c r="B3" s="387"/>
      <c r="C3" s="130"/>
      <c r="D3" s="130" t="s">
        <v>213</v>
      </c>
      <c r="E3" s="130"/>
    </row>
    <row r="4" spans="1:6" ht="13.5" thickBot="1" x14ac:dyDescent="0.25">
      <c r="A4" s="378"/>
      <c r="B4" s="131" t="s">
        <v>398</v>
      </c>
      <c r="C4" s="131" t="s">
        <v>221</v>
      </c>
      <c r="D4" s="131"/>
      <c r="E4" s="131"/>
      <c r="F4" t="s">
        <v>222</v>
      </c>
    </row>
    <row r="5" spans="1:6" ht="13.5" thickBot="1" x14ac:dyDescent="0.25">
      <c r="A5" s="379"/>
      <c r="B5" s="131" t="s">
        <v>291</v>
      </c>
      <c r="C5" s="131" t="s">
        <v>209</v>
      </c>
      <c r="D5" s="131" t="s">
        <v>209</v>
      </c>
      <c r="E5" s="131" t="s">
        <v>209</v>
      </c>
      <c r="F5" t="s">
        <v>210</v>
      </c>
    </row>
    <row r="6" spans="1:6" ht="13.5" thickBot="1" x14ac:dyDescent="0.25"/>
    <row r="7" spans="1:6" ht="25.5" x14ac:dyDescent="0.2">
      <c r="A7" s="377" t="s">
        <v>399</v>
      </c>
      <c r="B7" s="133" t="s">
        <v>312</v>
      </c>
      <c r="C7" s="129" t="s">
        <v>227</v>
      </c>
      <c r="D7" s="129" t="s">
        <v>227</v>
      </c>
      <c r="E7" s="134" t="s">
        <v>227</v>
      </c>
      <c r="F7" t="s">
        <v>228</v>
      </c>
    </row>
    <row r="8" spans="1:6" ht="26.25" thickBot="1" x14ac:dyDescent="0.25">
      <c r="A8" s="379"/>
      <c r="B8" s="135" t="s">
        <v>314</v>
      </c>
      <c r="C8" s="130" t="s">
        <v>230</v>
      </c>
      <c r="D8" s="130" t="s">
        <v>230</v>
      </c>
      <c r="E8" s="136" t="s">
        <v>230</v>
      </c>
      <c r="F8" t="s">
        <v>231</v>
      </c>
    </row>
    <row r="9" spans="1:6" ht="13.5" thickBot="1" x14ac:dyDescent="0.25"/>
    <row r="10" spans="1:6" ht="25.5" x14ac:dyDescent="0.2">
      <c r="A10" s="377" t="s">
        <v>400</v>
      </c>
      <c r="B10" s="133" t="s">
        <v>401</v>
      </c>
      <c r="C10" s="129" t="s">
        <v>232</v>
      </c>
      <c r="D10" s="129" t="s">
        <v>232</v>
      </c>
      <c r="E10" s="129" t="s">
        <v>232</v>
      </c>
      <c r="F10" t="s">
        <v>233</v>
      </c>
    </row>
    <row r="11" spans="1:6" ht="13.5" thickBot="1" x14ac:dyDescent="0.25">
      <c r="A11" s="379"/>
      <c r="B11" s="135" t="s">
        <v>294</v>
      </c>
      <c r="C11" s="130" t="s">
        <v>219</v>
      </c>
      <c r="D11" s="130" t="s">
        <v>219</v>
      </c>
      <c r="E11" s="130" t="s">
        <v>219</v>
      </c>
      <c r="F11" t="s">
        <v>220</v>
      </c>
    </row>
    <row r="12" spans="1:6" ht="13.5" thickBot="1" x14ac:dyDescent="0.25"/>
    <row r="13" spans="1:6" x14ac:dyDescent="0.2">
      <c r="A13" s="377" t="s">
        <v>402</v>
      </c>
      <c r="B13" s="388" t="s">
        <v>306</v>
      </c>
      <c r="C13" s="129" t="s">
        <v>215</v>
      </c>
      <c r="D13" s="129" t="s">
        <v>215</v>
      </c>
      <c r="E13" s="129" t="s">
        <v>215</v>
      </c>
      <c r="F13" t="s">
        <v>307</v>
      </c>
    </row>
    <row r="14" spans="1:6" x14ac:dyDescent="0.2">
      <c r="A14" s="378"/>
      <c r="B14" s="389"/>
      <c r="C14" s="137" t="s">
        <v>217</v>
      </c>
      <c r="D14" s="137" t="s">
        <v>217</v>
      </c>
      <c r="E14" s="137" t="s">
        <v>217</v>
      </c>
    </row>
    <row r="15" spans="1:6" x14ac:dyDescent="0.2">
      <c r="A15" s="378"/>
      <c r="B15" s="138" t="s">
        <v>310</v>
      </c>
      <c r="C15" s="137" t="s">
        <v>234</v>
      </c>
      <c r="D15" s="137" t="s">
        <v>238</v>
      </c>
      <c r="E15" s="137" t="s">
        <v>234</v>
      </c>
      <c r="F15" t="s">
        <v>235</v>
      </c>
    </row>
    <row r="16" spans="1:6" ht="25.5" x14ac:dyDescent="0.2">
      <c r="A16" s="378"/>
      <c r="B16" s="138" t="s">
        <v>318</v>
      </c>
      <c r="C16" s="137" t="s">
        <v>236</v>
      </c>
      <c r="D16" s="137" t="s">
        <v>236</v>
      </c>
      <c r="E16" s="137" t="s">
        <v>236</v>
      </c>
      <c r="F16" t="s">
        <v>237</v>
      </c>
    </row>
    <row r="17" spans="1:6" ht="26.25" thickBot="1" x14ac:dyDescent="0.25">
      <c r="A17" s="379"/>
      <c r="B17" s="135" t="s">
        <v>322</v>
      </c>
      <c r="C17" s="130" t="s">
        <v>239</v>
      </c>
      <c r="D17" s="130" t="s">
        <v>239</v>
      </c>
      <c r="E17" s="130" t="s">
        <v>239</v>
      </c>
      <c r="F17" t="s">
        <v>240</v>
      </c>
    </row>
    <row r="18" spans="1:6" ht="13.5" thickBot="1" x14ac:dyDescent="0.25"/>
    <row r="19" spans="1:6" x14ac:dyDescent="0.2">
      <c r="A19" s="377" t="s">
        <v>403</v>
      </c>
      <c r="B19" s="133" t="s">
        <v>319</v>
      </c>
      <c r="C19" s="129" t="s">
        <v>241</v>
      </c>
      <c r="D19" s="129" t="s">
        <v>241</v>
      </c>
      <c r="E19" s="129" t="s">
        <v>241</v>
      </c>
      <c r="F19" t="s">
        <v>242</v>
      </c>
    </row>
    <row r="20" spans="1:6" ht="25.5" x14ac:dyDescent="0.2">
      <c r="A20" s="378"/>
      <c r="B20" s="138" t="s">
        <v>320</v>
      </c>
      <c r="C20" s="137" t="s">
        <v>245</v>
      </c>
      <c r="D20" s="137" t="s">
        <v>245</v>
      </c>
      <c r="E20" s="137" t="s">
        <v>245</v>
      </c>
      <c r="F20" t="s">
        <v>246</v>
      </c>
    </row>
    <row r="21" spans="1:6" ht="13.5" thickBot="1" x14ac:dyDescent="0.25">
      <c r="A21" s="379"/>
      <c r="B21" s="135" t="s">
        <v>321</v>
      </c>
      <c r="C21" s="130" t="s">
        <v>243</v>
      </c>
      <c r="D21" s="130" t="s">
        <v>243</v>
      </c>
      <c r="E21" s="130" t="s">
        <v>243</v>
      </c>
      <c r="F21" t="s">
        <v>244</v>
      </c>
    </row>
    <row r="22" spans="1:6" ht="13.5" thickBot="1" x14ac:dyDescent="0.25"/>
    <row r="23" spans="1:6" x14ac:dyDescent="0.2">
      <c r="A23" s="380" t="s">
        <v>404</v>
      </c>
      <c r="B23" s="129" t="s">
        <v>325</v>
      </c>
      <c r="C23" s="129" t="s">
        <v>251</v>
      </c>
      <c r="D23" s="129" t="s">
        <v>255</v>
      </c>
      <c r="E23" s="129"/>
      <c r="F23" t="s">
        <v>252</v>
      </c>
    </row>
    <row r="24" spans="1:6" ht="25.5" x14ac:dyDescent="0.2">
      <c r="A24" s="381"/>
      <c r="B24" s="383" t="s">
        <v>297</v>
      </c>
      <c r="C24" s="137" t="s">
        <v>226</v>
      </c>
      <c r="D24" s="137" t="s">
        <v>229</v>
      </c>
      <c r="E24" s="137" t="s">
        <v>223</v>
      </c>
      <c r="F24" t="s">
        <v>298</v>
      </c>
    </row>
    <row r="25" spans="1:6" x14ac:dyDescent="0.2">
      <c r="A25" s="381"/>
      <c r="B25" s="383"/>
      <c r="C25" s="137" t="s">
        <v>247</v>
      </c>
      <c r="D25" s="137" t="s">
        <v>247</v>
      </c>
      <c r="E25" s="137" t="s">
        <v>247</v>
      </c>
    </row>
    <row r="26" spans="1:6" x14ac:dyDescent="0.2">
      <c r="A26" s="381"/>
      <c r="B26" s="384" t="s">
        <v>323</v>
      </c>
      <c r="C26" s="137"/>
      <c r="D26" s="137" t="s">
        <v>253</v>
      </c>
      <c r="E26" s="137" t="s">
        <v>253</v>
      </c>
      <c r="F26" t="s">
        <v>324</v>
      </c>
    </row>
    <row r="27" spans="1:6" ht="13.5" thickBot="1" x14ac:dyDescent="0.25">
      <c r="A27" s="382"/>
      <c r="B27" s="385"/>
      <c r="C27" s="130"/>
      <c r="D27" s="130"/>
      <c r="E27" s="130" t="s">
        <v>249</v>
      </c>
    </row>
  </sheetData>
  <mergeCells count="10">
    <mergeCell ref="A19:A21"/>
    <mergeCell ref="A23:A27"/>
    <mergeCell ref="B24:B25"/>
    <mergeCell ref="B26:B27"/>
    <mergeCell ref="A2:A5"/>
    <mergeCell ref="B2:B3"/>
    <mergeCell ref="A7:A8"/>
    <mergeCell ref="A10:A11"/>
    <mergeCell ref="A13:A17"/>
    <mergeCell ref="B13:B14"/>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E34"/>
  <sheetViews>
    <sheetView workbookViewId="0">
      <selection activeCell="K14" sqref="K14"/>
    </sheetView>
  </sheetViews>
  <sheetFormatPr defaultRowHeight="12.75" x14ac:dyDescent="0.2"/>
  <cols>
    <col min="1" max="1" width="25.28515625" style="118" customWidth="1"/>
    <col min="2" max="2" width="37.140625" style="118" customWidth="1"/>
    <col min="3" max="3" width="20.7109375" style="118" customWidth="1"/>
    <col min="4" max="4" width="25" style="118" customWidth="1"/>
    <col min="5" max="5" width="9.140625" style="122"/>
  </cols>
  <sheetData>
    <row r="1" spans="1:5" x14ac:dyDescent="0.2">
      <c r="A1" s="390" t="str">
        <f>'Urgent Escalation'!D29&amp;" - "&amp;D3</f>
        <v>Urgent Escalation - Action Taken - 0</v>
      </c>
      <c r="B1" s="390"/>
      <c r="C1" s="390"/>
      <c r="D1" s="390"/>
      <c r="E1" s="121"/>
    </row>
    <row r="2" spans="1:5" x14ac:dyDescent="0.2">
      <c r="A2" s="114" t="s">
        <v>329</v>
      </c>
      <c r="B2" s="117">
        <f>EscalationUsername</f>
        <v>0</v>
      </c>
      <c r="C2" s="114" t="s">
        <v>330</v>
      </c>
      <c r="D2" s="116">
        <f>EscalationContactDate</f>
        <v>0</v>
      </c>
      <c r="E2" s="121"/>
    </row>
    <row r="3" spans="1:5" x14ac:dyDescent="0.2">
      <c r="A3" s="114" t="s">
        <v>331</v>
      </c>
      <c r="B3" s="117">
        <f>EscalationContactID</f>
        <v>0</v>
      </c>
      <c r="C3" s="114" t="s">
        <v>332</v>
      </c>
      <c r="D3" s="117">
        <f>EscalationAdvisorName</f>
        <v>0</v>
      </c>
      <c r="E3" s="121"/>
    </row>
    <row r="4" spans="1:5" x14ac:dyDescent="0.2">
      <c r="A4" s="391" t="s">
        <v>339</v>
      </c>
      <c r="B4" s="391"/>
      <c r="C4" s="391"/>
      <c r="D4" s="391"/>
      <c r="E4" s="121"/>
    </row>
    <row r="5" spans="1:5" x14ac:dyDescent="0.2">
      <c r="A5" s="392" t="s">
        <v>370</v>
      </c>
      <c r="B5" s="392"/>
      <c r="C5" s="392"/>
      <c r="D5" s="392"/>
      <c r="E5" s="121"/>
    </row>
    <row r="6" spans="1:5" ht="15" x14ac:dyDescent="0.2">
      <c r="A6" s="393"/>
      <c r="B6" s="394"/>
      <c r="C6" s="394"/>
      <c r="D6" s="394"/>
      <c r="E6" s="317"/>
    </row>
    <row r="7" spans="1:5" s="319" customFormat="1" x14ac:dyDescent="0.2">
      <c r="E7" s="320"/>
    </row>
    <row r="8" spans="1:5" x14ac:dyDescent="0.2">
      <c r="A8" s="390" t="str">
        <f>'Urgent Escalation'!D20&amp;" - "&amp;D10</f>
        <v>Urgent Escalation - Follow Up Actions - 0</v>
      </c>
      <c r="B8" s="390"/>
      <c r="C8" s="390"/>
      <c r="D8" s="390"/>
      <c r="E8" s="318"/>
    </row>
    <row r="9" spans="1:5" x14ac:dyDescent="0.2">
      <c r="A9" s="114" t="s">
        <v>329</v>
      </c>
      <c r="B9" s="117">
        <f>EscalationUsername</f>
        <v>0</v>
      </c>
      <c r="C9" s="114" t="s">
        <v>330</v>
      </c>
      <c r="D9" s="116">
        <f>EscalationContactDate</f>
        <v>0</v>
      </c>
      <c r="E9" s="121"/>
    </row>
    <row r="10" spans="1:5" x14ac:dyDescent="0.2">
      <c r="A10" s="114" t="s">
        <v>331</v>
      </c>
      <c r="B10" s="117">
        <f>EscalationContactID</f>
        <v>0</v>
      </c>
      <c r="C10" s="114" t="s">
        <v>332</v>
      </c>
      <c r="D10" s="117">
        <f>EscalationAdvisorName</f>
        <v>0</v>
      </c>
      <c r="E10" s="121"/>
    </row>
    <row r="11" spans="1:5" ht="12.75" customHeight="1" x14ac:dyDescent="0.2">
      <c r="A11" s="391" t="s">
        <v>336</v>
      </c>
      <c r="B11" s="391"/>
      <c r="C11" s="391"/>
      <c r="D11" s="391"/>
      <c r="E11" s="121"/>
    </row>
    <row r="12" spans="1:5" x14ac:dyDescent="0.2">
      <c r="A12" s="308" t="s">
        <v>368</v>
      </c>
      <c r="B12" s="309">
        <f>EscalationActionTaken</f>
        <v>0</v>
      </c>
      <c r="C12" s="308" t="s">
        <v>369</v>
      </c>
      <c r="D12" s="309">
        <f>EscalationActionTakenBy</f>
        <v>0</v>
      </c>
    </row>
    <row r="13" spans="1:5" x14ac:dyDescent="0.2">
      <c r="A13" s="395" t="s">
        <v>337</v>
      </c>
      <c r="B13" s="395"/>
      <c r="C13" s="395"/>
      <c r="D13" s="395"/>
      <c r="E13" s="121"/>
    </row>
    <row r="14" spans="1:5" ht="57" customHeight="1" x14ac:dyDescent="0.2">
      <c r="A14" s="123" t="str">
        <f>'Urgent Escalation'!D24</f>
        <v xml:space="preserve">Reason for the Action: </v>
      </c>
      <c r="B14" s="398">
        <f>EscalationReasonforAction</f>
        <v>0</v>
      </c>
      <c r="C14" s="398"/>
      <c r="D14" s="398"/>
      <c r="E14" s="121"/>
    </row>
    <row r="15" spans="1:5" ht="72" customHeight="1" x14ac:dyDescent="0.2">
      <c r="A15" s="123" t="str">
        <f>'Urgent Escalation'!D25</f>
        <v>Expectation:</v>
      </c>
      <c r="B15" s="398">
        <f>EscalationExpectation</f>
        <v>0</v>
      </c>
      <c r="C15" s="398"/>
      <c r="D15" s="398"/>
      <c r="E15" s="321"/>
    </row>
    <row r="16" spans="1:5" s="319" customFormat="1" x14ac:dyDescent="0.2">
      <c r="E16" s="320"/>
    </row>
    <row r="17" spans="1:5" ht="12.75" customHeight="1" x14ac:dyDescent="0.2">
      <c r="A17" s="390" t="str">
        <f>'Urgent Escalation'!D12&amp;" - "&amp;D19</f>
        <v>Urgent Escalation - Review Outcome - 0</v>
      </c>
      <c r="B17" s="390"/>
      <c r="C17" s="390"/>
      <c r="D17" s="390"/>
      <c r="E17" s="396"/>
    </row>
    <row r="18" spans="1:5" x14ac:dyDescent="0.2">
      <c r="A18" s="114" t="s">
        <v>329</v>
      </c>
      <c r="B18" s="117">
        <f>EscalationUsername</f>
        <v>0</v>
      </c>
      <c r="C18" s="114" t="s">
        <v>330</v>
      </c>
      <c r="D18" s="116">
        <f>EscalationContactDate</f>
        <v>0</v>
      </c>
      <c r="E18" s="396"/>
    </row>
    <row r="19" spans="1:5" x14ac:dyDescent="0.2">
      <c r="A19" s="114" t="s">
        <v>331</v>
      </c>
      <c r="B19" s="117">
        <f>EscalationContactID</f>
        <v>0</v>
      </c>
      <c r="C19" s="114" t="s">
        <v>332</v>
      </c>
      <c r="D19" s="117">
        <f>EscalationAdvisorName</f>
        <v>0</v>
      </c>
    </row>
    <row r="20" spans="1:5" x14ac:dyDescent="0.2">
      <c r="A20" s="391" t="s">
        <v>334</v>
      </c>
      <c r="B20" s="391"/>
      <c r="C20" s="391"/>
      <c r="D20" s="391"/>
      <c r="E20" s="124"/>
    </row>
    <row r="21" spans="1:5" x14ac:dyDescent="0.2">
      <c r="A21" s="402">
        <f>EscalationReviewOutcome</f>
        <v>0</v>
      </c>
      <c r="B21" s="402"/>
      <c r="C21" s="402"/>
      <c r="D21" s="402"/>
      <c r="E21" s="124"/>
    </row>
    <row r="22" spans="1:5" ht="15" x14ac:dyDescent="0.25">
      <c r="A22" s="399" t="s">
        <v>128</v>
      </c>
      <c r="B22" s="400"/>
      <c r="C22" s="400"/>
      <c r="D22" s="400"/>
      <c r="E22" s="322"/>
    </row>
    <row r="23" spans="1:5" s="319" customFormat="1" x14ac:dyDescent="0.2">
      <c r="E23" s="320"/>
    </row>
    <row r="24" spans="1:5" ht="12.75" customHeight="1" x14ac:dyDescent="0.2">
      <c r="A24" s="390" t="str">
        <f>'Urgent Escalation'!D3&amp;" - "&amp;D26</f>
        <v>Urgent Escalation - Initial Communication - 0</v>
      </c>
      <c r="B24" s="390"/>
      <c r="C24" s="390"/>
      <c r="D24" s="390"/>
      <c r="E24" s="397"/>
    </row>
    <row r="25" spans="1:5" ht="12.75" customHeight="1" x14ac:dyDescent="0.2">
      <c r="A25" s="114" t="s">
        <v>329</v>
      </c>
      <c r="B25" s="115">
        <f>EscalationUsername</f>
        <v>0</v>
      </c>
      <c r="C25" s="114" t="s">
        <v>330</v>
      </c>
      <c r="D25" s="116">
        <f>EscalationContactDate</f>
        <v>0</v>
      </c>
      <c r="E25" s="397"/>
    </row>
    <row r="26" spans="1:5" x14ac:dyDescent="0.2">
      <c r="A26" s="114" t="s">
        <v>331</v>
      </c>
      <c r="B26" s="115">
        <f>EscalationContactID</f>
        <v>0</v>
      </c>
      <c r="C26" s="114" t="s">
        <v>332</v>
      </c>
      <c r="D26" s="117">
        <f>EscalationAdvisorName</f>
        <v>0</v>
      </c>
      <c r="E26" s="397"/>
    </row>
    <row r="27" spans="1:5" x14ac:dyDescent="0.2">
      <c r="A27" s="391" t="s">
        <v>333</v>
      </c>
      <c r="B27" s="391"/>
      <c r="C27" s="391"/>
      <c r="D27" s="391"/>
      <c r="E27" s="397"/>
    </row>
    <row r="28" spans="1:5" x14ac:dyDescent="0.2">
      <c r="A28" s="401">
        <f>EscalationReason</f>
        <v>0</v>
      </c>
      <c r="B28" s="401"/>
      <c r="C28" s="401"/>
      <c r="D28" s="401"/>
      <c r="E28" s="323"/>
    </row>
    <row r="29" spans="1:5" x14ac:dyDescent="0.2">
      <c r="E29" s="121"/>
    </row>
    <row r="30" spans="1:5" x14ac:dyDescent="0.2">
      <c r="E30" s="121"/>
    </row>
    <row r="31" spans="1:5" x14ac:dyDescent="0.2">
      <c r="E31" s="121"/>
    </row>
    <row r="32" spans="1:5" x14ac:dyDescent="0.2">
      <c r="E32" s="121"/>
    </row>
    <row r="33" spans="5:5" ht="12.75" customHeight="1" x14ac:dyDescent="0.2">
      <c r="E33" s="396"/>
    </row>
    <row r="34" spans="5:5" x14ac:dyDescent="0.2">
      <c r="E34" s="396"/>
    </row>
  </sheetData>
  <mergeCells count="19">
    <mergeCell ref="E17:E18"/>
    <mergeCell ref="A8:D8"/>
    <mergeCell ref="A11:D11"/>
    <mergeCell ref="E24:E27"/>
    <mergeCell ref="E33:E34"/>
    <mergeCell ref="B14:D14"/>
    <mergeCell ref="B15:D15"/>
    <mergeCell ref="A22:D22"/>
    <mergeCell ref="A24:D24"/>
    <mergeCell ref="A27:D27"/>
    <mergeCell ref="A28:D28"/>
    <mergeCell ref="A21:D21"/>
    <mergeCell ref="A17:D17"/>
    <mergeCell ref="A20:D20"/>
    <mergeCell ref="A1:D1"/>
    <mergeCell ref="A4:D4"/>
    <mergeCell ref="A5:D5"/>
    <mergeCell ref="A6:D6"/>
    <mergeCell ref="A13:D13"/>
  </mergeCells>
  <hyperlinks>
    <hyperlink ref="A22" r:id="rId1"/>
  </hyperlinks>
  <pageMargins left="0.7" right="0.7" top="0.75" bottom="0.75" header="0.3" footer="0.3"/>
  <pageSetup paperSize="9"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workbookViewId="0">
      <selection activeCell="M8" sqref="M8"/>
    </sheetView>
  </sheetViews>
  <sheetFormatPr defaultRowHeight="12.75" x14ac:dyDescent="0.2"/>
  <sheetData>
    <row r="1" spans="1:1" x14ac:dyDescent="0.2">
      <c r="A1" t="s">
        <v>362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D213"/>
  <sheetViews>
    <sheetView showGridLines="0" topLeftCell="N1" workbookViewId="0">
      <selection activeCell="R34" sqref="R34"/>
    </sheetView>
  </sheetViews>
  <sheetFormatPr defaultRowHeight="12.75" x14ac:dyDescent="0.2"/>
  <cols>
    <col min="1" max="1" width="0.5703125" style="246" customWidth="1"/>
    <col min="2" max="2" width="17.42578125" style="246" bestFit="1" customWidth="1"/>
    <col min="3" max="3" width="3.7109375" style="1" customWidth="1"/>
    <col min="4" max="4" width="22.28515625" style="1" bestFit="1" customWidth="1"/>
    <col min="5" max="5" width="20.7109375" style="1" bestFit="1" customWidth="1"/>
    <col min="6" max="6" width="13.5703125" style="1" customWidth="1"/>
    <col min="7" max="7" width="20" style="1" bestFit="1" customWidth="1"/>
    <col min="8" max="8" width="14.140625" style="1" bestFit="1" customWidth="1"/>
    <col min="9" max="9" width="9" style="1" bestFit="1" customWidth="1"/>
    <col min="10" max="10" width="16.42578125" style="1" bestFit="1" customWidth="1"/>
    <col min="11" max="11" width="16.85546875" style="1" customWidth="1"/>
    <col min="12" max="13" width="3.85546875" style="1" customWidth="1"/>
    <col min="14" max="14" width="5" style="1" customWidth="1"/>
    <col min="15" max="15" width="32" style="119" customWidth="1"/>
    <col min="16" max="16" width="11.85546875" style="16" bestFit="1" customWidth="1"/>
    <col min="17" max="17" width="21.5703125" style="252" customWidth="1"/>
    <col min="18" max="18" width="54.7109375" style="10" bestFit="1" customWidth="1"/>
    <col min="19" max="19" width="22.28515625" style="10" bestFit="1" customWidth="1"/>
    <col min="20" max="20" width="11.85546875" style="10" bestFit="1" customWidth="1"/>
    <col min="21" max="21" width="14.140625" style="10" bestFit="1" customWidth="1"/>
    <col min="22" max="22" width="11.28515625" style="1" bestFit="1" customWidth="1"/>
    <col min="23" max="23" width="13.7109375" style="10" customWidth="1"/>
    <col min="24" max="24" width="9.140625" style="119"/>
    <col min="25" max="25" width="32.140625" style="10" customWidth="1"/>
    <col min="26" max="26" width="10.42578125" style="1" bestFit="1" customWidth="1"/>
    <col min="27" max="16384" width="9.140625" style="1"/>
  </cols>
  <sheetData>
    <row r="1" spans="1:26" s="127" customFormat="1" ht="36.75" customHeight="1" x14ac:dyDescent="0.2">
      <c r="A1" s="142"/>
      <c r="B1" s="142"/>
      <c r="O1" s="140"/>
      <c r="P1" s="141"/>
      <c r="Q1" s="251"/>
      <c r="X1" s="140"/>
      <c r="Y1" s="256">
        <v>29221</v>
      </c>
      <c r="Z1" s="255">
        <v>11111111111</v>
      </c>
    </row>
    <row r="2" spans="1:26" x14ac:dyDescent="0.2">
      <c r="B2" s="248" t="s">
        <v>119</v>
      </c>
    </row>
    <row r="3" spans="1:26" x14ac:dyDescent="0.2">
      <c r="D3" s="407" t="s">
        <v>348</v>
      </c>
      <c r="E3" s="407"/>
      <c r="F3" s="407"/>
      <c r="G3" s="407"/>
      <c r="H3" s="407"/>
      <c r="I3" s="407"/>
      <c r="J3" s="407"/>
      <c r="K3" s="407"/>
      <c r="O3" s="119" t="s">
        <v>134</v>
      </c>
      <c r="P3" s="276"/>
      <c r="S3" s="119" t="s">
        <v>2</v>
      </c>
      <c r="T3" s="80"/>
      <c r="V3" s="10"/>
      <c r="X3" s="119" t="s">
        <v>342</v>
      </c>
      <c r="Y3" s="295"/>
    </row>
    <row r="4" spans="1:26" x14ac:dyDescent="0.2">
      <c r="B4" s="248" t="s">
        <v>434</v>
      </c>
      <c r="D4" s="105"/>
      <c r="E4" s="105"/>
      <c r="F4" s="105"/>
      <c r="G4" s="105"/>
      <c r="H4" s="105"/>
      <c r="I4" s="105"/>
      <c r="J4" s="105"/>
      <c r="K4" s="105"/>
    </row>
    <row r="5" spans="1:26" x14ac:dyDescent="0.2">
      <c r="D5" s="31" t="s">
        <v>342</v>
      </c>
      <c r="E5" s="295"/>
      <c r="F5" s="4"/>
      <c r="G5" s="31" t="s">
        <v>341</v>
      </c>
      <c r="H5" s="360"/>
      <c r="I5" s="361"/>
      <c r="J5" s="361"/>
      <c r="K5" s="361"/>
      <c r="N5" s="120"/>
    </row>
    <row r="6" spans="1:26" x14ac:dyDescent="0.2">
      <c r="B6" s="248" t="s">
        <v>435</v>
      </c>
      <c r="D6" s="1" t="s">
        <v>329</v>
      </c>
      <c r="E6" s="106"/>
      <c r="F6" s="4"/>
      <c r="G6" s="1" t="s">
        <v>330</v>
      </c>
      <c r="H6" s="111"/>
      <c r="J6" s="2"/>
      <c r="O6" s="200" t="s">
        <v>355</v>
      </c>
      <c r="P6" s="200" t="s">
        <v>356</v>
      </c>
      <c r="Q6" s="274" t="s">
        <v>259</v>
      </c>
      <c r="R6" s="200" t="s">
        <v>333</v>
      </c>
      <c r="S6" s="200" t="s">
        <v>358</v>
      </c>
      <c r="T6" s="200" t="s">
        <v>359</v>
      </c>
      <c r="U6" s="200" t="s">
        <v>357</v>
      </c>
      <c r="V6" s="200" t="s">
        <v>595</v>
      </c>
      <c r="W6" s="200" t="s">
        <v>76</v>
      </c>
      <c r="X6" s="311" t="s">
        <v>85</v>
      </c>
      <c r="Y6" s="200" t="s">
        <v>86</v>
      </c>
    </row>
    <row r="7" spans="1:26" ht="15" x14ac:dyDescent="0.25">
      <c r="D7" s="1" t="s">
        <v>340</v>
      </c>
      <c r="E7" s="296"/>
      <c r="F7" s="4"/>
      <c r="G7" s="2" t="s">
        <v>134</v>
      </c>
      <c r="H7" s="106"/>
      <c r="O7" s="252" t="s">
        <v>439</v>
      </c>
      <c r="P7" s="16" t="s">
        <v>439</v>
      </c>
      <c r="Q7" s="252" t="s">
        <v>439</v>
      </c>
      <c r="R7" s="10" t="s">
        <v>439</v>
      </c>
      <c r="S7" s="99" t="s">
        <v>439</v>
      </c>
      <c r="T7" s="10" t="s">
        <v>439</v>
      </c>
      <c r="U7" s="99" t="s">
        <v>439</v>
      </c>
      <c r="V7" s="99" t="s">
        <v>439</v>
      </c>
      <c r="W7" s="10" t="s">
        <v>439</v>
      </c>
      <c r="X7" s="119" t="s">
        <v>439</v>
      </c>
      <c r="Y7" s="10" t="s">
        <v>439</v>
      </c>
    </row>
    <row r="8" spans="1:26" ht="15" x14ac:dyDescent="0.25">
      <c r="B8" s="248" t="s">
        <v>441</v>
      </c>
      <c r="J8" s="4"/>
      <c r="K8" s="4"/>
      <c r="O8" s="252" t="s">
        <v>439</v>
      </c>
      <c r="P8" s="16" t="s">
        <v>439</v>
      </c>
      <c r="Q8" s="252" t="s">
        <v>439</v>
      </c>
      <c r="R8" s="10" t="s">
        <v>439</v>
      </c>
      <c r="S8" s="99" t="s">
        <v>439</v>
      </c>
      <c r="T8" s="10" t="s">
        <v>439</v>
      </c>
      <c r="U8" s="99" t="s">
        <v>439</v>
      </c>
      <c r="V8" s="99" t="s">
        <v>439</v>
      </c>
      <c r="W8" s="10" t="s">
        <v>439</v>
      </c>
      <c r="X8" s="119" t="s">
        <v>439</v>
      </c>
      <c r="Y8" s="10" t="s">
        <v>439</v>
      </c>
    </row>
    <row r="9" spans="1:26" ht="15.75" thickBot="1" x14ac:dyDescent="0.3">
      <c r="D9" s="104"/>
      <c r="E9" s="104"/>
      <c r="F9" s="104"/>
      <c r="G9" s="104"/>
      <c r="H9" s="104"/>
      <c r="I9" s="110" t="s">
        <v>350</v>
      </c>
      <c r="J9" s="104"/>
      <c r="K9" s="104"/>
      <c r="N9" s="2"/>
      <c r="O9" s="310" t="s">
        <v>439</v>
      </c>
      <c r="P9" s="16" t="s">
        <v>439</v>
      </c>
      <c r="Q9" s="252" t="s">
        <v>439</v>
      </c>
      <c r="R9" s="10" t="s">
        <v>439</v>
      </c>
      <c r="S9" s="99" t="s">
        <v>439</v>
      </c>
      <c r="T9" s="10" t="s">
        <v>439</v>
      </c>
      <c r="U9" s="99" t="s">
        <v>439</v>
      </c>
      <c r="V9" s="99" t="s">
        <v>439</v>
      </c>
      <c r="W9" s="10" t="s">
        <v>439</v>
      </c>
      <c r="X9" s="119" t="s">
        <v>439</v>
      </c>
      <c r="Y9" s="10" t="s">
        <v>439</v>
      </c>
    </row>
    <row r="10" spans="1:26" ht="15" x14ac:dyDescent="0.25">
      <c r="B10" s="248" t="s">
        <v>436</v>
      </c>
      <c r="N10" s="2"/>
      <c r="O10" s="310" t="s">
        <v>439</v>
      </c>
      <c r="P10" s="16" t="s">
        <v>439</v>
      </c>
      <c r="Q10" s="252" t="s">
        <v>439</v>
      </c>
      <c r="R10" s="10" t="s">
        <v>439</v>
      </c>
      <c r="S10" s="99" t="s">
        <v>439</v>
      </c>
      <c r="T10" s="10" t="s">
        <v>439</v>
      </c>
      <c r="U10" s="99" t="s">
        <v>439</v>
      </c>
      <c r="V10" s="99" t="s">
        <v>439</v>
      </c>
      <c r="W10" s="10" t="s">
        <v>439</v>
      </c>
      <c r="X10" s="119" t="s">
        <v>439</v>
      </c>
      <c r="Y10" s="10" t="s">
        <v>439</v>
      </c>
    </row>
    <row r="11" spans="1:26" ht="15" x14ac:dyDescent="0.25">
      <c r="O11" s="310" t="s">
        <v>439</v>
      </c>
      <c r="P11" s="16" t="s">
        <v>439</v>
      </c>
      <c r="Q11" s="252" t="s">
        <v>439</v>
      </c>
      <c r="R11" s="10" t="s">
        <v>439</v>
      </c>
      <c r="S11" s="99" t="s">
        <v>439</v>
      </c>
      <c r="T11" s="10" t="s">
        <v>439</v>
      </c>
      <c r="U11" s="10" t="s">
        <v>439</v>
      </c>
      <c r="V11" s="99" t="s">
        <v>439</v>
      </c>
      <c r="W11" s="10" t="s">
        <v>439</v>
      </c>
      <c r="X11" s="119" t="s">
        <v>439</v>
      </c>
      <c r="Y11" s="10" t="s">
        <v>439</v>
      </c>
    </row>
    <row r="12" spans="1:26" ht="15" x14ac:dyDescent="0.25">
      <c r="B12" s="248" t="s">
        <v>378</v>
      </c>
      <c r="D12" s="407" t="s">
        <v>347</v>
      </c>
      <c r="E12" s="407"/>
      <c r="F12" s="407"/>
      <c r="G12" s="407"/>
      <c r="H12" s="407"/>
      <c r="I12" s="407"/>
      <c r="J12" s="407"/>
      <c r="K12" s="407"/>
      <c r="O12" s="310" t="s">
        <v>439</v>
      </c>
      <c r="P12" s="16" t="s">
        <v>439</v>
      </c>
      <c r="Q12" s="252" t="s">
        <v>439</v>
      </c>
      <c r="R12" s="10" t="s">
        <v>439</v>
      </c>
      <c r="S12" s="99" t="s">
        <v>439</v>
      </c>
      <c r="T12" s="10" t="s">
        <v>439</v>
      </c>
      <c r="U12" s="10" t="s">
        <v>439</v>
      </c>
      <c r="V12" s="99" t="s">
        <v>439</v>
      </c>
      <c r="W12" s="10" t="s">
        <v>439</v>
      </c>
      <c r="X12" s="119" t="s">
        <v>439</v>
      </c>
      <c r="Y12" s="10" t="s">
        <v>439</v>
      </c>
    </row>
    <row r="13" spans="1:26" ht="15" x14ac:dyDescent="0.25">
      <c r="D13" s="105"/>
      <c r="E13" s="105"/>
      <c r="F13" s="105"/>
      <c r="G13" s="105"/>
      <c r="H13" s="105"/>
      <c r="I13" s="105"/>
      <c r="J13" s="105"/>
      <c r="K13" s="105"/>
      <c r="O13" s="310" t="s">
        <v>439</v>
      </c>
      <c r="P13" s="16" t="s">
        <v>439</v>
      </c>
      <c r="Q13" s="252" t="s">
        <v>439</v>
      </c>
      <c r="R13" s="10" t="s">
        <v>439</v>
      </c>
      <c r="S13" s="99" t="s">
        <v>439</v>
      </c>
      <c r="T13" s="10" t="s">
        <v>439</v>
      </c>
      <c r="U13" s="10" t="s">
        <v>439</v>
      </c>
      <c r="V13" s="99" t="s">
        <v>439</v>
      </c>
      <c r="W13" s="10" t="s">
        <v>439</v>
      </c>
      <c r="X13" s="119" t="s">
        <v>439</v>
      </c>
      <c r="Y13" s="10" t="s">
        <v>439</v>
      </c>
    </row>
    <row r="14" spans="1:26" ht="15" x14ac:dyDescent="0.25">
      <c r="B14" s="248" t="s">
        <v>437</v>
      </c>
      <c r="D14" s="1" t="s">
        <v>343</v>
      </c>
      <c r="E14" s="82"/>
      <c r="F14" s="2"/>
      <c r="G14" s="2"/>
      <c r="H14" s="2"/>
      <c r="I14" s="2"/>
      <c r="J14" s="2"/>
      <c r="K14" s="2"/>
      <c r="M14" s="2"/>
      <c r="O14" s="310" t="s">
        <v>439</v>
      </c>
      <c r="P14" s="16" t="s">
        <v>439</v>
      </c>
      <c r="Q14" s="252" t="s">
        <v>439</v>
      </c>
      <c r="R14" s="10" t="s">
        <v>439</v>
      </c>
      <c r="S14" s="99" t="s">
        <v>439</v>
      </c>
      <c r="T14" s="10" t="s">
        <v>439</v>
      </c>
      <c r="U14" s="10" t="s">
        <v>439</v>
      </c>
      <c r="V14" s="99" t="s">
        <v>439</v>
      </c>
      <c r="W14" s="10" t="s">
        <v>439</v>
      </c>
      <c r="X14" s="119" t="s">
        <v>439</v>
      </c>
      <c r="Y14" s="10" t="s">
        <v>439</v>
      </c>
    </row>
    <row r="15" spans="1:26" ht="15" x14ac:dyDescent="0.25">
      <c r="D15" s="1" t="s">
        <v>344</v>
      </c>
      <c r="E15" s="360"/>
      <c r="F15" s="360"/>
      <c r="G15" s="360"/>
      <c r="H15" s="360"/>
      <c r="I15" s="360"/>
      <c r="J15" s="360"/>
      <c r="K15" s="360"/>
      <c r="L15" s="2"/>
      <c r="O15" s="310" t="s">
        <v>439</v>
      </c>
      <c r="P15" s="16" t="s">
        <v>439</v>
      </c>
      <c r="Q15" s="252" t="s">
        <v>439</v>
      </c>
      <c r="R15" s="10" t="s">
        <v>439</v>
      </c>
      <c r="S15" s="99" t="s">
        <v>439</v>
      </c>
      <c r="T15" s="10" t="s">
        <v>439</v>
      </c>
      <c r="U15" s="10" t="s">
        <v>439</v>
      </c>
      <c r="V15" s="99" t="s">
        <v>439</v>
      </c>
      <c r="W15" s="10" t="s">
        <v>439</v>
      </c>
      <c r="X15" s="119" t="s">
        <v>439</v>
      </c>
      <c r="Y15" s="10" t="s">
        <v>439</v>
      </c>
    </row>
    <row r="16" spans="1:26" ht="15" x14ac:dyDescent="0.25">
      <c r="B16" s="248" t="s">
        <v>617</v>
      </c>
      <c r="D16" s="1" t="s">
        <v>140</v>
      </c>
      <c r="E16" s="258"/>
      <c r="F16" s="2"/>
      <c r="G16" s="2"/>
      <c r="H16" s="2"/>
      <c r="I16" s="2"/>
      <c r="J16" s="2"/>
      <c r="K16" s="2"/>
      <c r="L16" s="2"/>
      <c r="M16" s="2"/>
      <c r="O16" s="310" t="s">
        <v>439</v>
      </c>
      <c r="P16" s="16" t="s">
        <v>439</v>
      </c>
      <c r="Q16" s="252" t="s">
        <v>439</v>
      </c>
      <c r="R16" s="10" t="s">
        <v>439</v>
      </c>
      <c r="S16" s="99" t="s">
        <v>439</v>
      </c>
      <c r="T16" s="10" t="s">
        <v>439</v>
      </c>
      <c r="U16" s="10" t="s">
        <v>439</v>
      </c>
      <c r="V16" s="99" t="s">
        <v>439</v>
      </c>
      <c r="W16" s="10" t="s">
        <v>439</v>
      </c>
      <c r="X16" s="119" t="s">
        <v>439</v>
      </c>
      <c r="Y16" s="10" t="s">
        <v>439</v>
      </c>
    </row>
    <row r="17" spans="4:30" ht="15.75" thickBot="1" x14ac:dyDescent="0.3">
      <c r="D17" s="104"/>
      <c r="E17" s="104"/>
      <c r="F17" s="104"/>
      <c r="G17" s="104"/>
      <c r="H17" s="104"/>
      <c r="I17" s="110"/>
      <c r="J17" s="104"/>
      <c r="K17" s="104"/>
      <c r="O17" s="310" t="s">
        <v>439</v>
      </c>
      <c r="P17" s="16" t="s">
        <v>439</v>
      </c>
      <c r="Q17" s="252" t="s">
        <v>439</v>
      </c>
      <c r="R17" s="10" t="s">
        <v>439</v>
      </c>
      <c r="S17" s="99" t="s">
        <v>439</v>
      </c>
      <c r="T17" s="10" t="s">
        <v>439</v>
      </c>
      <c r="U17" s="10" t="s">
        <v>439</v>
      </c>
      <c r="V17" s="99" t="s">
        <v>439</v>
      </c>
      <c r="W17" s="10" t="s">
        <v>439</v>
      </c>
      <c r="X17" s="119" t="s">
        <v>439</v>
      </c>
      <c r="Y17" s="10" t="s">
        <v>439</v>
      </c>
    </row>
    <row r="18" spans="4:30" ht="15" x14ac:dyDescent="0.25">
      <c r="I18" s="108"/>
      <c r="O18" s="310" t="s">
        <v>439</v>
      </c>
      <c r="P18" s="16" t="s">
        <v>439</v>
      </c>
      <c r="Q18" s="252" t="s">
        <v>439</v>
      </c>
      <c r="R18" s="10" t="s">
        <v>439</v>
      </c>
      <c r="S18" s="99" t="s">
        <v>439</v>
      </c>
      <c r="T18" s="10" t="s">
        <v>439</v>
      </c>
      <c r="U18" s="10" t="s">
        <v>439</v>
      </c>
      <c r="V18" s="99" t="s">
        <v>439</v>
      </c>
      <c r="W18" s="10" t="s">
        <v>439</v>
      </c>
      <c r="X18" s="119" t="s">
        <v>439</v>
      </c>
      <c r="Y18" s="10" t="s">
        <v>439</v>
      </c>
    </row>
    <row r="19" spans="4:30" ht="15" x14ac:dyDescent="0.25">
      <c r="O19" s="310" t="s">
        <v>439</v>
      </c>
      <c r="P19" s="16" t="s">
        <v>439</v>
      </c>
      <c r="Q19" s="252" t="s">
        <v>439</v>
      </c>
      <c r="R19" s="10" t="s">
        <v>439</v>
      </c>
      <c r="S19" s="99" t="s">
        <v>439</v>
      </c>
      <c r="T19" s="10" t="s">
        <v>439</v>
      </c>
      <c r="U19" s="10" t="s">
        <v>439</v>
      </c>
      <c r="V19" s="99" t="s">
        <v>439</v>
      </c>
      <c r="W19" s="252" t="s">
        <v>439</v>
      </c>
      <c r="X19" s="119" t="s">
        <v>439</v>
      </c>
      <c r="Y19" s="10" t="s">
        <v>439</v>
      </c>
      <c r="AA19" s="259"/>
      <c r="AB19" s="259"/>
      <c r="AC19" s="260"/>
      <c r="AD19" s="259"/>
    </row>
    <row r="20" spans="4:30" ht="15" x14ac:dyDescent="0.25">
      <c r="D20" s="407" t="s">
        <v>349</v>
      </c>
      <c r="E20" s="407"/>
      <c r="F20" s="407"/>
      <c r="G20" s="407"/>
      <c r="H20" s="407"/>
      <c r="I20" s="407"/>
      <c r="J20" s="407"/>
      <c r="K20" s="407"/>
      <c r="O20" s="310" t="s">
        <v>439</v>
      </c>
      <c r="P20" s="16" t="s">
        <v>439</v>
      </c>
      <c r="Q20" s="252" t="s">
        <v>439</v>
      </c>
      <c r="R20" s="10" t="s">
        <v>439</v>
      </c>
      <c r="S20" s="99" t="s">
        <v>439</v>
      </c>
      <c r="T20" s="10" t="s">
        <v>439</v>
      </c>
      <c r="U20" s="10" t="s">
        <v>439</v>
      </c>
      <c r="V20" s="99" t="s">
        <v>439</v>
      </c>
      <c r="W20" s="10" t="s">
        <v>439</v>
      </c>
      <c r="X20" s="119" t="s">
        <v>439</v>
      </c>
      <c r="Y20" s="10" t="s">
        <v>439</v>
      </c>
    </row>
    <row r="21" spans="4:30" ht="15" x14ac:dyDescent="0.25">
      <c r="O21" s="310" t="s">
        <v>439</v>
      </c>
      <c r="P21" s="16" t="s">
        <v>439</v>
      </c>
      <c r="Q21" s="252" t="s">
        <v>439</v>
      </c>
      <c r="R21" s="10" t="s">
        <v>439</v>
      </c>
      <c r="S21" s="99" t="s">
        <v>439</v>
      </c>
      <c r="T21" s="10" t="s">
        <v>439</v>
      </c>
      <c r="U21" s="10" t="s">
        <v>439</v>
      </c>
      <c r="V21" s="99" t="s">
        <v>439</v>
      </c>
      <c r="W21" s="10" t="s">
        <v>439</v>
      </c>
      <c r="X21" s="119" t="s">
        <v>439</v>
      </c>
      <c r="Y21" s="10" t="s">
        <v>439</v>
      </c>
    </row>
    <row r="22" spans="4:30" ht="15" x14ac:dyDescent="0.25">
      <c r="D22" s="1" t="s">
        <v>345</v>
      </c>
      <c r="E22" s="3"/>
      <c r="G22" s="1" t="s">
        <v>346</v>
      </c>
      <c r="H22" s="82"/>
      <c r="O22" s="252" t="s">
        <v>439</v>
      </c>
      <c r="P22" s="16" t="s">
        <v>439</v>
      </c>
      <c r="Q22" s="252" t="s">
        <v>439</v>
      </c>
      <c r="R22" s="10" t="s">
        <v>439</v>
      </c>
      <c r="S22" s="10" t="s">
        <v>439</v>
      </c>
      <c r="T22" s="10" t="s">
        <v>439</v>
      </c>
      <c r="U22" s="10" t="s">
        <v>439</v>
      </c>
      <c r="V22" s="99" t="s">
        <v>439</v>
      </c>
      <c r="W22" s="10" t="s">
        <v>439</v>
      </c>
      <c r="X22" s="119" t="s">
        <v>439</v>
      </c>
      <c r="Y22" s="10" t="s">
        <v>439</v>
      </c>
    </row>
    <row r="23" spans="4:30" ht="15" x14ac:dyDescent="0.25">
      <c r="O23" s="252" t="s">
        <v>439</v>
      </c>
      <c r="P23" s="16" t="s">
        <v>439</v>
      </c>
      <c r="Q23" s="252" t="s">
        <v>439</v>
      </c>
      <c r="R23" s="10" t="s">
        <v>439</v>
      </c>
      <c r="S23" s="10" t="s">
        <v>439</v>
      </c>
      <c r="T23" s="10" t="s">
        <v>439</v>
      </c>
      <c r="U23" s="10" t="s">
        <v>439</v>
      </c>
      <c r="V23" s="99" t="s">
        <v>439</v>
      </c>
      <c r="W23" s="10" t="s">
        <v>439</v>
      </c>
      <c r="X23" s="119" t="s">
        <v>439</v>
      </c>
      <c r="Y23" s="10" t="s">
        <v>439</v>
      </c>
    </row>
    <row r="24" spans="4:30" ht="60" customHeight="1" x14ac:dyDescent="0.25">
      <c r="D24" s="107" t="s">
        <v>351</v>
      </c>
      <c r="E24" s="408"/>
      <c r="F24" s="408"/>
      <c r="G24" s="408"/>
      <c r="H24" s="408"/>
      <c r="I24" s="408"/>
      <c r="J24" s="408"/>
      <c r="K24" s="408"/>
      <c r="O24" s="252" t="s">
        <v>439</v>
      </c>
      <c r="P24" s="16" t="s">
        <v>439</v>
      </c>
      <c r="Q24" s="252" t="s">
        <v>439</v>
      </c>
      <c r="R24" s="10" t="s">
        <v>439</v>
      </c>
      <c r="S24" s="10" t="s">
        <v>439</v>
      </c>
      <c r="T24" s="10" t="s">
        <v>439</v>
      </c>
      <c r="U24" s="10" t="s">
        <v>439</v>
      </c>
      <c r="V24" s="99" t="s">
        <v>439</v>
      </c>
      <c r="W24" s="10" t="s">
        <v>439</v>
      </c>
      <c r="X24" s="119" t="s">
        <v>439</v>
      </c>
      <c r="Y24" s="10" t="s">
        <v>439</v>
      </c>
    </row>
    <row r="25" spans="4:30" ht="60" customHeight="1" x14ac:dyDescent="0.25">
      <c r="D25" s="107" t="s">
        <v>338</v>
      </c>
      <c r="E25" s="408"/>
      <c r="F25" s="408"/>
      <c r="G25" s="408"/>
      <c r="H25" s="408"/>
      <c r="I25" s="408"/>
      <c r="J25" s="408"/>
      <c r="K25" s="408"/>
      <c r="O25" s="252" t="s">
        <v>439</v>
      </c>
      <c r="P25" s="16" t="s">
        <v>439</v>
      </c>
      <c r="Q25" s="252" t="s">
        <v>439</v>
      </c>
      <c r="R25" s="10" t="s">
        <v>439</v>
      </c>
      <c r="S25" s="10" t="s">
        <v>439</v>
      </c>
      <c r="T25" s="10" t="s">
        <v>439</v>
      </c>
      <c r="U25" s="10" t="s">
        <v>439</v>
      </c>
      <c r="V25" s="99" t="s">
        <v>439</v>
      </c>
      <c r="W25" s="10" t="s">
        <v>439</v>
      </c>
      <c r="X25" s="119" t="s">
        <v>439</v>
      </c>
      <c r="Y25" s="10" t="s">
        <v>439</v>
      </c>
    </row>
    <row r="26" spans="4:30" ht="15" x14ac:dyDescent="0.25">
      <c r="O26" s="119" t="s">
        <v>439</v>
      </c>
      <c r="P26" s="16" t="s">
        <v>439</v>
      </c>
      <c r="Q26" s="252" t="s">
        <v>439</v>
      </c>
      <c r="R26" s="10" t="s">
        <v>439</v>
      </c>
      <c r="S26" s="10" t="s">
        <v>439</v>
      </c>
      <c r="T26" s="10" t="s">
        <v>439</v>
      </c>
      <c r="U26" s="10" t="s">
        <v>439</v>
      </c>
      <c r="V26" s="99" t="s">
        <v>439</v>
      </c>
      <c r="W26" s="10" t="s">
        <v>439</v>
      </c>
      <c r="X26" s="119" t="s">
        <v>439</v>
      </c>
      <c r="Y26" s="10" t="s">
        <v>439</v>
      </c>
    </row>
    <row r="27" spans="4:30" ht="15.75" thickBot="1" x14ac:dyDescent="0.3">
      <c r="D27" s="104"/>
      <c r="E27" s="104"/>
      <c r="F27" s="104"/>
      <c r="G27" s="104"/>
      <c r="H27" s="104"/>
      <c r="I27" s="104"/>
      <c r="J27" s="104"/>
      <c r="K27" s="104"/>
      <c r="O27" s="119" t="s">
        <v>439</v>
      </c>
      <c r="P27" s="16" t="s">
        <v>439</v>
      </c>
      <c r="Q27" s="252" t="s">
        <v>439</v>
      </c>
      <c r="R27" s="10" t="s">
        <v>439</v>
      </c>
      <c r="S27" s="10" t="s">
        <v>439</v>
      </c>
      <c r="T27" s="10" t="s">
        <v>439</v>
      </c>
      <c r="U27" s="10" t="s">
        <v>439</v>
      </c>
      <c r="V27" s="99" t="s">
        <v>439</v>
      </c>
      <c r="W27" s="10" t="s">
        <v>439</v>
      </c>
      <c r="X27" s="119" t="s">
        <v>439</v>
      </c>
      <c r="Y27" s="10" t="s">
        <v>439</v>
      </c>
    </row>
    <row r="28" spans="4:30" ht="15" x14ac:dyDescent="0.25">
      <c r="O28" s="119" t="s">
        <v>439</v>
      </c>
      <c r="P28" s="16" t="s">
        <v>439</v>
      </c>
      <c r="Q28" s="252" t="s">
        <v>439</v>
      </c>
      <c r="R28" s="10" t="s">
        <v>439</v>
      </c>
      <c r="S28" s="10" t="s">
        <v>439</v>
      </c>
      <c r="T28" s="10" t="s">
        <v>439</v>
      </c>
      <c r="U28" s="10" t="s">
        <v>439</v>
      </c>
      <c r="V28" s="99" t="s">
        <v>439</v>
      </c>
      <c r="W28" s="10" t="s">
        <v>439</v>
      </c>
      <c r="X28" s="119" t="s">
        <v>439</v>
      </c>
      <c r="Y28" s="10" t="s">
        <v>439</v>
      </c>
    </row>
    <row r="29" spans="4:30" ht="15" x14ac:dyDescent="0.25">
      <c r="D29" s="407" t="s">
        <v>352</v>
      </c>
      <c r="E29" s="407"/>
      <c r="F29" s="407"/>
      <c r="G29" s="407"/>
      <c r="H29" s="407"/>
      <c r="I29" s="407"/>
      <c r="J29" s="407"/>
      <c r="K29" s="407"/>
      <c r="O29" s="119" t="s">
        <v>439</v>
      </c>
      <c r="P29" s="16" t="s">
        <v>439</v>
      </c>
      <c r="Q29" s="252" t="s">
        <v>439</v>
      </c>
      <c r="R29" s="10" t="s">
        <v>439</v>
      </c>
      <c r="S29" s="10" t="s">
        <v>439</v>
      </c>
      <c r="T29" s="10" t="s">
        <v>439</v>
      </c>
      <c r="U29" s="10" t="s">
        <v>439</v>
      </c>
      <c r="V29" s="99" t="s">
        <v>439</v>
      </c>
      <c r="W29" s="10" t="s">
        <v>439</v>
      </c>
      <c r="X29" s="119" t="s">
        <v>439</v>
      </c>
      <c r="Y29" s="10" t="s">
        <v>439</v>
      </c>
    </row>
    <row r="30" spans="4:30" ht="15" x14ac:dyDescent="0.25">
      <c r="O30" s="119" t="s">
        <v>439</v>
      </c>
      <c r="P30" s="16" t="s">
        <v>439</v>
      </c>
      <c r="Q30" s="252" t="s">
        <v>439</v>
      </c>
      <c r="R30" s="10" t="s">
        <v>439</v>
      </c>
      <c r="S30" s="10" t="s">
        <v>439</v>
      </c>
      <c r="T30" s="10" t="s">
        <v>439</v>
      </c>
      <c r="U30" s="10" t="s">
        <v>439</v>
      </c>
      <c r="V30" s="99" t="s">
        <v>439</v>
      </c>
      <c r="W30" s="10" t="s">
        <v>439</v>
      </c>
      <c r="X30" s="119" t="s">
        <v>439</v>
      </c>
      <c r="Y30" s="10" t="s">
        <v>439</v>
      </c>
    </row>
    <row r="31" spans="4:30" ht="15" x14ac:dyDescent="0.25">
      <c r="D31" s="1" t="s">
        <v>353</v>
      </c>
      <c r="E31" s="360"/>
      <c r="F31" s="360"/>
      <c r="G31" s="360"/>
      <c r="H31" s="360"/>
      <c r="I31" s="360"/>
      <c r="J31" s="360"/>
      <c r="K31" s="360"/>
      <c r="O31" s="119" t="s">
        <v>439</v>
      </c>
      <c r="P31" s="16" t="s">
        <v>439</v>
      </c>
      <c r="Q31" s="252" t="s">
        <v>439</v>
      </c>
      <c r="R31" s="10" t="s">
        <v>439</v>
      </c>
      <c r="S31" s="10" t="s">
        <v>439</v>
      </c>
      <c r="T31" s="10" t="s">
        <v>439</v>
      </c>
      <c r="U31" s="10" t="s">
        <v>439</v>
      </c>
      <c r="V31" s="99" t="s">
        <v>439</v>
      </c>
      <c r="W31" s="10" t="s">
        <v>439</v>
      </c>
      <c r="X31" s="119" t="s">
        <v>439</v>
      </c>
      <c r="Y31" s="10" t="s">
        <v>439</v>
      </c>
    </row>
    <row r="32" spans="4:30" ht="15" x14ac:dyDescent="0.25">
      <c r="D32" s="1" t="s">
        <v>140</v>
      </c>
      <c r="E32" s="258"/>
      <c r="F32" s="2"/>
      <c r="G32" s="2"/>
      <c r="H32" s="2"/>
      <c r="I32" s="2"/>
      <c r="J32" s="2"/>
      <c r="K32" s="2"/>
      <c r="O32" s="119" t="s">
        <v>439</v>
      </c>
      <c r="P32" s="16" t="s">
        <v>439</v>
      </c>
      <c r="Q32" s="252" t="s">
        <v>439</v>
      </c>
      <c r="R32" s="10" t="s">
        <v>439</v>
      </c>
      <c r="S32" s="10" t="s">
        <v>439</v>
      </c>
      <c r="T32" s="10" t="s">
        <v>439</v>
      </c>
      <c r="U32" s="10" t="s">
        <v>439</v>
      </c>
      <c r="V32" s="99" t="s">
        <v>439</v>
      </c>
      <c r="W32" s="10" t="s">
        <v>439</v>
      </c>
      <c r="X32" s="119" t="s">
        <v>439</v>
      </c>
      <c r="Y32" s="10" t="s">
        <v>439</v>
      </c>
    </row>
    <row r="33" spans="4:25" ht="13.5" thickBot="1" x14ac:dyDescent="0.25">
      <c r="D33" s="104"/>
      <c r="E33" s="109"/>
      <c r="F33" s="109"/>
      <c r="G33" s="109"/>
      <c r="H33" s="109"/>
      <c r="I33" s="109"/>
      <c r="J33" s="109"/>
      <c r="K33" s="109"/>
      <c r="L33" s="2"/>
      <c r="M33" s="2"/>
      <c r="O33" s="119" t="s">
        <v>439</v>
      </c>
      <c r="P33" s="16" t="s">
        <v>439</v>
      </c>
      <c r="Q33" s="252" t="s">
        <v>439</v>
      </c>
      <c r="R33" s="10" t="s">
        <v>439</v>
      </c>
      <c r="S33" s="10" t="s">
        <v>439</v>
      </c>
      <c r="T33" s="10" t="s">
        <v>439</v>
      </c>
      <c r="U33" s="10" t="s">
        <v>439</v>
      </c>
      <c r="V33" s="1" t="s">
        <v>439</v>
      </c>
      <c r="W33" s="10" t="s">
        <v>439</v>
      </c>
      <c r="X33" s="119" t="s">
        <v>439</v>
      </c>
      <c r="Y33" s="10" t="s">
        <v>439</v>
      </c>
    </row>
    <row r="34" spans="4:25" x14ac:dyDescent="0.2">
      <c r="D34" s="2"/>
      <c r="E34" s="2"/>
      <c r="F34" s="2"/>
      <c r="G34" s="2"/>
      <c r="H34" s="2"/>
      <c r="I34" s="2"/>
      <c r="J34" s="2"/>
      <c r="K34" s="2"/>
      <c r="L34" s="2"/>
      <c r="M34" s="2"/>
      <c r="O34" s="119" t="s">
        <v>439</v>
      </c>
      <c r="P34" s="16" t="s">
        <v>439</v>
      </c>
      <c r="Q34" s="252" t="s">
        <v>439</v>
      </c>
      <c r="R34" s="10" t="s">
        <v>439</v>
      </c>
      <c r="S34" s="10" t="s">
        <v>439</v>
      </c>
      <c r="T34" s="10" t="s">
        <v>439</v>
      </c>
      <c r="U34" s="10" t="s">
        <v>439</v>
      </c>
      <c r="V34" s="1" t="s">
        <v>439</v>
      </c>
      <c r="W34" s="10" t="s">
        <v>439</v>
      </c>
      <c r="X34" s="119" t="s">
        <v>439</v>
      </c>
      <c r="Y34" s="10" t="s">
        <v>439</v>
      </c>
    </row>
    <row r="35" spans="4:25" x14ac:dyDescent="0.2">
      <c r="D35" s="407" t="s">
        <v>386</v>
      </c>
      <c r="E35" s="407"/>
      <c r="F35" s="407"/>
      <c r="G35" s="407"/>
      <c r="H35" s="407"/>
      <c r="I35" s="407"/>
      <c r="J35" s="407"/>
      <c r="K35" s="407"/>
      <c r="L35" s="2"/>
      <c r="M35" s="2"/>
      <c r="O35" s="119" t="s">
        <v>439</v>
      </c>
      <c r="P35" s="16" t="s">
        <v>439</v>
      </c>
      <c r="Q35" s="252" t="s">
        <v>439</v>
      </c>
      <c r="R35" s="10" t="s">
        <v>439</v>
      </c>
      <c r="S35" s="10" t="s">
        <v>439</v>
      </c>
      <c r="T35" s="10" t="s">
        <v>439</v>
      </c>
      <c r="U35" s="10" t="s">
        <v>439</v>
      </c>
      <c r="V35" s="1" t="s">
        <v>439</v>
      </c>
      <c r="W35" s="10" t="s">
        <v>439</v>
      </c>
      <c r="X35" s="119" t="s">
        <v>439</v>
      </c>
      <c r="Y35" s="10" t="s">
        <v>439</v>
      </c>
    </row>
    <row r="36" spans="4:25" x14ac:dyDescent="0.2">
      <c r="D36" s="2"/>
      <c r="E36" s="2"/>
      <c r="F36" s="2"/>
      <c r="G36" s="2"/>
      <c r="H36" s="2"/>
      <c r="I36" s="2"/>
      <c r="J36" s="2"/>
      <c r="K36" s="2"/>
      <c r="L36" s="2"/>
      <c r="M36" s="2"/>
      <c r="O36" s="119" t="s">
        <v>439</v>
      </c>
      <c r="P36" s="16" t="s">
        <v>439</v>
      </c>
      <c r="Q36" s="252" t="s">
        <v>439</v>
      </c>
      <c r="R36" s="10" t="s">
        <v>439</v>
      </c>
      <c r="S36" s="10" t="s">
        <v>439</v>
      </c>
      <c r="T36" s="10" t="s">
        <v>439</v>
      </c>
      <c r="U36" s="10" t="s">
        <v>439</v>
      </c>
      <c r="V36" s="1" t="s">
        <v>439</v>
      </c>
      <c r="W36" s="10" t="s">
        <v>439</v>
      </c>
      <c r="X36" s="119" t="s">
        <v>439</v>
      </c>
      <c r="Y36" s="10" t="s">
        <v>439</v>
      </c>
    </row>
    <row r="37" spans="4:25" x14ac:dyDescent="0.2">
      <c r="D37" s="1" t="s">
        <v>405</v>
      </c>
      <c r="E37" s="139"/>
      <c r="L37" s="2"/>
      <c r="M37" s="2"/>
      <c r="O37" s="119" t="s">
        <v>439</v>
      </c>
      <c r="P37" s="16" t="s">
        <v>439</v>
      </c>
      <c r="Q37" s="252" t="s">
        <v>439</v>
      </c>
      <c r="R37" s="10" t="s">
        <v>439</v>
      </c>
      <c r="S37" s="10" t="s">
        <v>439</v>
      </c>
      <c r="T37" s="10" t="s">
        <v>439</v>
      </c>
      <c r="U37" s="10" t="s">
        <v>439</v>
      </c>
      <c r="V37" s="1" t="s">
        <v>439</v>
      </c>
      <c r="W37" s="10" t="s">
        <v>439</v>
      </c>
      <c r="X37" s="119" t="s">
        <v>439</v>
      </c>
      <c r="Y37" s="10" t="s">
        <v>439</v>
      </c>
    </row>
    <row r="38" spans="4:25" x14ac:dyDescent="0.2">
      <c r="D38" s="1" t="s">
        <v>380</v>
      </c>
      <c r="E38" s="409"/>
      <c r="F38" s="409"/>
      <c r="G38" s="409"/>
      <c r="H38" s="409"/>
      <c r="I38" s="409"/>
      <c r="J38" s="10" t="s">
        <v>442</v>
      </c>
      <c r="K38" s="125"/>
      <c r="L38" s="2"/>
      <c r="M38" s="2"/>
      <c r="O38" s="119" t="s">
        <v>439</v>
      </c>
      <c r="P38" s="16" t="s">
        <v>439</v>
      </c>
      <c r="Q38" s="252" t="s">
        <v>439</v>
      </c>
      <c r="R38" s="10" t="s">
        <v>439</v>
      </c>
      <c r="S38" s="10" t="s">
        <v>439</v>
      </c>
      <c r="T38" s="10" t="s">
        <v>439</v>
      </c>
      <c r="U38" s="10" t="s">
        <v>439</v>
      </c>
      <c r="V38" s="1" t="s">
        <v>439</v>
      </c>
      <c r="W38" s="10" t="s">
        <v>439</v>
      </c>
      <c r="X38" s="119" t="s">
        <v>439</v>
      </c>
      <c r="Y38" s="10" t="s">
        <v>439</v>
      </c>
    </row>
    <row r="39" spans="4:25" x14ac:dyDescent="0.2">
      <c r="D39" s="1" t="s">
        <v>379</v>
      </c>
      <c r="E39" s="360"/>
      <c r="F39" s="360"/>
      <c r="G39" s="360"/>
      <c r="H39" s="360"/>
      <c r="I39" s="360"/>
      <c r="J39" s="360"/>
      <c r="K39" s="360"/>
      <c r="O39" s="119" t="s">
        <v>439</v>
      </c>
      <c r="P39" s="16" t="s">
        <v>439</v>
      </c>
      <c r="Q39" s="252" t="s">
        <v>439</v>
      </c>
      <c r="R39" s="10" t="s">
        <v>439</v>
      </c>
      <c r="S39" s="10" t="s">
        <v>439</v>
      </c>
      <c r="T39" s="10" t="s">
        <v>439</v>
      </c>
      <c r="U39" s="10" t="s">
        <v>439</v>
      </c>
      <c r="V39" s="1" t="s">
        <v>439</v>
      </c>
      <c r="W39" s="10" t="s">
        <v>439</v>
      </c>
      <c r="X39" s="119" t="s">
        <v>439</v>
      </c>
      <c r="Y39" s="10" t="s">
        <v>439</v>
      </c>
    </row>
    <row r="40" spans="4:25" ht="15" x14ac:dyDescent="0.2">
      <c r="D40" s="1" t="s">
        <v>140</v>
      </c>
      <c r="E40" s="6"/>
      <c r="F40" s="5" t="s">
        <v>381</v>
      </c>
      <c r="G40" s="405"/>
      <c r="H40" s="406"/>
      <c r="I40" s="2"/>
      <c r="J40" s="2"/>
      <c r="K40" s="2"/>
      <c r="O40" s="119" t="s">
        <v>439</v>
      </c>
      <c r="P40" s="16" t="s">
        <v>439</v>
      </c>
      <c r="Q40" s="252" t="s">
        <v>439</v>
      </c>
      <c r="R40" s="10" t="s">
        <v>439</v>
      </c>
      <c r="S40" s="10" t="s">
        <v>439</v>
      </c>
      <c r="T40" s="10" t="s">
        <v>439</v>
      </c>
      <c r="U40" s="10" t="s">
        <v>439</v>
      </c>
      <c r="V40" s="1" t="s">
        <v>439</v>
      </c>
      <c r="W40" s="10" t="s">
        <v>439</v>
      </c>
      <c r="X40" s="119" t="s">
        <v>439</v>
      </c>
      <c r="Y40" s="10" t="s">
        <v>439</v>
      </c>
    </row>
    <row r="41" spans="4:25" ht="13.5" thickBot="1" x14ac:dyDescent="0.25">
      <c r="D41" s="104"/>
      <c r="E41" s="109"/>
      <c r="F41" s="109"/>
      <c r="G41" s="109"/>
      <c r="H41" s="109"/>
      <c r="I41" s="109"/>
      <c r="J41" s="109"/>
      <c r="K41" s="109"/>
      <c r="O41" s="119" t="s">
        <v>439</v>
      </c>
      <c r="P41" s="16" t="s">
        <v>439</v>
      </c>
      <c r="Q41" s="252" t="s">
        <v>439</v>
      </c>
      <c r="R41" s="10" t="s">
        <v>439</v>
      </c>
      <c r="S41" s="10" t="s">
        <v>439</v>
      </c>
      <c r="T41" s="10" t="s">
        <v>439</v>
      </c>
      <c r="U41" s="10" t="s">
        <v>439</v>
      </c>
      <c r="V41" s="1" t="s">
        <v>439</v>
      </c>
      <c r="W41" s="10" t="s">
        <v>439</v>
      </c>
      <c r="X41" s="119" t="s">
        <v>439</v>
      </c>
      <c r="Y41" s="10" t="s">
        <v>439</v>
      </c>
    </row>
    <row r="42" spans="4:25" x14ac:dyDescent="0.2">
      <c r="O42" s="119" t="s">
        <v>439</v>
      </c>
      <c r="P42" s="16" t="s">
        <v>439</v>
      </c>
      <c r="Q42" s="252" t="s">
        <v>439</v>
      </c>
      <c r="R42" s="10" t="s">
        <v>439</v>
      </c>
      <c r="S42" s="10" t="s">
        <v>439</v>
      </c>
      <c r="T42" s="10" t="s">
        <v>439</v>
      </c>
      <c r="U42" s="10" t="s">
        <v>439</v>
      </c>
      <c r="V42" s="1" t="s">
        <v>439</v>
      </c>
      <c r="W42" s="10" t="s">
        <v>439</v>
      </c>
      <c r="X42" s="119" t="s">
        <v>439</v>
      </c>
      <c r="Y42" s="10" t="s">
        <v>439</v>
      </c>
    </row>
    <row r="43" spans="4:25" x14ac:dyDescent="0.2">
      <c r="O43" s="119" t="s">
        <v>439</v>
      </c>
      <c r="P43" s="16" t="s">
        <v>439</v>
      </c>
      <c r="Q43" s="252" t="s">
        <v>439</v>
      </c>
      <c r="R43" s="10" t="s">
        <v>439</v>
      </c>
      <c r="S43" s="10" t="s">
        <v>439</v>
      </c>
      <c r="T43" s="10" t="s">
        <v>439</v>
      </c>
      <c r="U43" s="10" t="s">
        <v>439</v>
      </c>
      <c r="V43" s="1" t="s">
        <v>439</v>
      </c>
      <c r="W43" s="10" t="s">
        <v>439</v>
      </c>
      <c r="X43" s="119" t="s">
        <v>439</v>
      </c>
      <c r="Y43" s="10" t="s">
        <v>439</v>
      </c>
    </row>
    <row r="44" spans="4:25" x14ac:dyDescent="0.2">
      <c r="O44" s="119" t="s">
        <v>439</v>
      </c>
      <c r="P44" s="16" t="s">
        <v>439</v>
      </c>
      <c r="Q44" s="252" t="s">
        <v>439</v>
      </c>
      <c r="R44" s="10" t="s">
        <v>439</v>
      </c>
      <c r="S44" s="10" t="s">
        <v>439</v>
      </c>
      <c r="T44" s="10" t="s">
        <v>439</v>
      </c>
      <c r="U44" s="10" t="s">
        <v>439</v>
      </c>
      <c r="V44" s="1" t="s">
        <v>439</v>
      </c>
      <c r="W44" s="10" t="s">
        <v>439</v>
      </c>
      <c r="X44" s="119" t="s">
        <v>439</v>
      </c>
      <c r="Y44" s="10" t="s">
        <v>439</v>
      </c>
    </row>
    <row r="45" spans="4:25" x14ac:dyDescent="0.2">
      <c r="O45" s="119" t="s">
        <v>439</v>
      </c>
      <c r="P45" s="16" t="s">
        <v>439</v>
      </c>
      <c r="Q45" s="252" t="s">
        <v>439</v>
      </c>
      <c r="R45" s="10" t="s">
        <v>439</v>
      </c>
      <c r="S45" s="10" t="s">
        <v>439</v>
      </c>
      <c r="T45" s="10" t="s">
        <v>439</v>
      </c>
      <c r="U45" s="10" t="s">
        <v>439</v>
      </c>
      <c r="V45" s="1" t="s">
        <v>439</v>
      </c>
      <c r="W45" s="10" t="s">
        <v>439</v>
      </c>
      <c r="X45" s="119" t="s">
        <v>439</v>
      </c>
      <c r="Y45" s="10" t="s">
        <v>439</v>
      </c>
    </row>
    <row r="46" spans="4:25" x14ac:dyDescent="0.2">
      <c r="O46" s="119" t="s">
        <v>439</v>
      </c>
      <c r="P46" s="16" t="s">
        <v>439</v>
      </c>
      <c r="Q46" s="252" t="s">
        <v>439</v>
      </c>
      <c r="R46" s="10" t="s">
        <v>439</v>
      </c>
      <c r="S46" s="10" t="s">
        <v>439</v>
      </c>
      <c r="T46" s="10" t="s">
        <v>439</v>
      </c>
      <c r="U46" s="10" t="s">
        <v>439</v>
      </c>
      <c r="V46" s="1" t="s">
        <v>439</v>
      </c>
      <c r="W46" s="10" t="s">
        <v>439</v>
      </c>
      <c r="X46" s="119" t="s">
        <v>439</v>
      </c>
      <c r="Y46" s="10" t="s">
        <v>439</v>
      </c>
    </row>
    <row r="47" spans="4:25" x14ac:dyDescent="0.2">
      <c r="O47" s="119" t="s">
        <v>439</v>
      </c>
      <c r="P47" s="16" t="s">
        <v>439</v>
      </c>
      <c r="Q47" s="252" t="s">
        <v>439</v>
      </c>
      <c r="R47" s="10" t="s">
        <v>439</v>
      </c>
      <c r="S47" s="10" t="s">
        <v>439</v>
      </c>
      <c r="T47" s="10" t="s">
        <v>439</v>
      </c>
      <c r="U47" s="10" t="s">
        <v>439</v>
      </c>
      <c r="V47" s="1" t="s">
        <v>439</v>
      </c>
      <c r="W47" s="10" t="s">
        <v>439</v>
      </c>
      <c r="X47" s="119" t="s">
        <v>439</v>
      </c>
      <c r="Y47" s="10" t="s">
        <v>439</v>
      </c>
    </row>
    <row r="48" spans="4:25" x14ac:dyDescent="0.2">
      <c r="O48" s="119" t="s">
        <v>439</v>
      </c>
      <c r="P48" s="16" t="s">
        <v>439</v>
      </c>
      <c r="Q48" s="252" t="s">
        <v>439</v>
      </c>
      <c r="R48" s="10" t="s">
        <v>439</v>
      </c>
      <c r="S48" s="10" t="s">
        <v>439</v>
      </c>
      <c r="T48" s="10" t="s">
        <v>439</v>
      </c>
      <c r="U48" s="10" t="s">
        <v>439</v>
      </c>
      <c r="V48" s="1" t="s">
        <v>439</v>
      </c>
      <c r="W48" s="10" t="s">
        <v>439</v>
      </c>
      <c r="X48" s="119" t="s">
        <v>439</v>
      </c>
      <c r="Y48" s="10" t="s">
        <v>439</v>
      </c>
    </row>
    <row r="49" spans="4:25" x14ac:dyDescent="0.2">
      <c r="O49" s="119" t="s">
        <v>439</v>
      </c>
      <c r="P49" s="16" t="s">
        <v>439</v>
      </c>
      <c r="Q49" s="252" t="s">
        <v>439</v>
      </c>
      <c r="R49" s="10" t="s">
        <v>439</v>
      </c>
      <c r="S49" s="10" t="s">
        <v>439</v>
      </c>
      <c r="T49" s="10" t="s">
        <v>439</v>
      </c>
      <c r="U49" s="10" t="s">
        <v>439</v>
      </c>
      <c r="V49" s="1" t="s">
        <v>439</v>
      </c>
      <c r="W49" s="10" t="s">
        <v>439</v>
      </c>
      <c r="X49" s="119" t="s">
        <v>439</v>
      </c>
      <c r="Y49" s="10" t="s">
        <v>439</v>
      </c>
    </row>
    <row r="50" spans="4:25" x14ac:dyDescent="0.2">
      <c r="O50" s="119" t="s">
        <v>439</v>
      </c>
      <c r="P50" s="16" t="s">
        <v>439</v>
      </c>
      <c r="Q50" s="252" t="s">
        <v>439</v>
      </c>
      <c r="R50" s="10" t="s">
        <v>439</v>
      </c>
      <c r="S50" s="10" t="s">
        <v>439</v>
      </c>
      <c r="T50" s="10" t="s">
        <v>439</v>
      </c>
      <c r="U50" s="10" t="s">
        <v>439</v>
      </c>
      <c r="V50" s="1" t="s">
        <v>439</v>
      </c>
      <c r="W50" s="10" t="s">
        <v>439</v>
      </c>
      <c r="X50" s="119" t="s">
        <v>439</v>
      </c>
      <c r="Y50" s="10" t="s">
        <v>439</v>
      </c>
    </row>
    <row r="51" spans="4:25" x14ac:dyDescent="0.2">
      <c r="O51" s="119" t="s">
        <v>439</v>
      </c>
      <c r="P51" s="16" t="s">
        <v>439</v>
      </c>
      <c r="Q51" s="252" t="s">
        <v>439</v>
      </c>
      <c r="R51" s="10" t="s">
        <v>439</v>
      </c>
      <c r="S51" s="10" t="s">
        <v>439</v>
      </c>
      <c r="T51" s="10" t="s">
        <v>439</v>
      </c>
      <c r="U51" s="10" t="s">
        <v>439</v>
      </c>
      <c r="V51" s="1" t="s">
        <v>439</v>
      </c>
      <c r="W51" s="10" t="s">
        <v>439</v>
      </c>
      <c r="X51" s="119" t="s">
        <v>439</v>
      </c>
      <c r="Y51" s="10" t="s">
        <v>439</v>
      </c>
    </row>
    <row r="52" spans="4:25" x14ac:dyDescent="0.2">
      <c r="O52" s="119" t="s">
        <v>439</v>
      </c>
      <c r="P52" s="16" t="s">
        <v>439</v>
      </c>
      <c r="Q52" s="252" t="s">
        <v>439</v>
      </c>
      <c r="R52" s="10" t="s">
        <v>439</v>
      </c>
      <c r="S52" s="10" t="s">
        <v>439</v>
      </c>
      <c r="T52" s="10" t="s">
        <v>439</v>
      </c>
      <c r="U52" s="10" t="s">
        <v>439</v>
      </c>
      <c r="V52" s="1" t="s">
        <v>439</v>
      </c>
      <c r="W52" s="10" t="s">
        <v>439</v>
      </c>
      <c r="X52" s="119" t="s">
        <v>439</v>
      </c>
      <c r="Y52" s="10" t="s">
        <v>439</v>
      </c>
    </row>
    <row r="53" spans="4:25" x14ac:dyDescent="0.2">
      <c r="O53" s="119" t="s">
        <v>439</v>
      </c>
      <c r="P53" s="16" t="s">
        <v>439</v>
      </c>
      <c r="Q53" s="252" t="s">
        <v>439</v>
      </c>
      <c r="R53" s="10" t="s">
        <v>439</v>
      </c>
      <c r="S53" s="10" t="s">
        <v>439</v>
      </c>
      <c r="T53" s="10" t="s">
        <v>439</v>
      </c>
      <c r="U53" s="10" t="s">
        <v>439</v>
      </c>
      <c r="V53" s="1" t="s">
        <v>439</v>
      </c>
      <c r="W53" s="10" t="s">
        <v>439</v>
      </c>
      <c r="X53" s="119" t="s">
        <v>439</v>
      </c>
      <c r="Y53" s="10" t="s">
        <v>439</v>
      </c>
    </row>
    <row r="54" spans="4:25" x14ac:dyDescent="0.2">
      <c r="O54" s="119" t="s">
        <v>439</v>
      </c>
      <c r="P54" s="16" t="s">
        <v>439</v>
      </c>
      <c r="Q54" s="252" t="s">
        <v>439</v>
      </c>
      <c r="R54" s="10" t="s">
        <v>439</v>
      </c>
      <c r="S54" s="10" t="s">
        <v>439</v>
      </c>
      <c r="T54" s="10" t="s">
        <v>439</v>
      </c>
      <c r="U54" s="10" t="s">
        <v>439</v>
      </c>
      <c r="V54" s="1" t="s">
        <v>439</v>
      </c>
      <c r="W54" s="10" t="s">
        <v>439</v>
      </c>
      <c r="X54" s="119" t="s">
        <v>439</v>
      </c>
      <c r="Y54" s="10" t="s">
        <v>439</v>
      </c>
    </row>
    <row r="55" spans="4:25" x14ac:dyDescent="0.2">
      <c r="O55" s="119" t="s">
        <v>439</v>
      </c>
      <c r="P55" s="16" t="s">
        <v>439</v>
      </c>
      <c r="Q55" s="252" t="s">
        <v>439</v>
      </c>
      <c r="R55" s="10" t="s">
        <v>439</v>
      </c>
      <c r="S55" s="10" t="s">
        <v>439</v>
      </c>
      <c r="T55" s="10" t="s">
        <v>439</v>
      </c>
      <c r="U55" s="10" t="s">
        <v>439</v>
      </c>
      <c r="V55" s="1" t="s">
        <v>439</v>
      </c>
      <c r="W55" s="10" t="s">
        <v>439</v>
      </c>
      <c r="X55" s="119" t="s">
        <v>439</v>
      </c>
      <c r="Y55" s="10" t="s">
        <v>439</v>
      </c>
    </row>
    <row r="56" spans="4:25" x14ac:dyDescent="0.2">
      <c r="F56" s="327"/>
      <c r="O56" s="119" t="s">
        <v>439</v>
      </c>
      <c r="P56" s="16" t="s">
        <v>439</v>
      </c>
      <c r="Q56" s="252" t="s">
        <v>439</v>
      </c>
      <c r="R56" s="10" t="s">
        <v>439</v>
      </c>
      <c r="S56" s="10" t="s">
        <v>439</v>
      </c>
      <c r="T56" s="10" t="s">
        <v>439</v>
      </c>
      <c r="U56" s="10" t="s">
        <v>439</v>
      </c>
      <c r="V56" s="1" t="s">
        <v>439</v>
      </c>
      <c r="W56" s="10" t="s">
        <v>439</v>
      </c>
      <c r="X56" s="119" t="s">
        <v>439</v>
      </c>
      <c r="Y56" s="10" t="s">
        <v>439</v>
      </c>
    </row>
    <row r="57" spans="4:25" x14ac:dyDescent="0.2">
      <c r="O57" s="119" t="s">
        <v>439</v>
      </c>
      <c r="P57" s="16" t="s">
        <v>439</v>
      </c>
      <c r="Q57" s="252" t="s">
        <v>439</v>
      </c>
      <c r="R57" s="10" t="s">
        <v>439</v>
      </c>
      <c r="S57" s="10" t="s">
        <v>439</v>
      </c>
      <c r="T57" s="10" t="s">
        <v>439</v>
      </c>
      <c r="U57" s="10" t="s">
        <v>439</v>
      </c>
      <c r="V57" s="1" t="s">
        <v>439</v>
      </c>
      <c r="W57" s="10" t="s">
        <v>439</v>
      </c>
      <c r="X57" s="119" t="s">
        <v>439</v>
      </c>
      <c r="Y57" s="10" t="s">
        <v>439</v>
      </c>
    </row>
    <row r="58" spans="4:25" x14ac:dyDescent="0.2">
      <c r="D58" s="403"/>
      <c r="E58" s="404"/>
      <c r="F58" s="404"/>
      <c r="G58" s="404"/>
      <c r="H58" s="404"/>
      <c r="I58" s="404"/>
      <c r="J58" s="404"/>
      <c r="K58" s="404"/>
      <c r="O58" s="119" t="s">
        <v>439</v>
      </c>
      <c r="P58" s="16" t="s">
        <v>439</v>
      </c>
      <c r="Q58" s="252" t="s">
        <v>439</v>
      </c>
      <c r="R58" s="10" t="s">
        <v>439</v>
      </c>
      <c r="S58" s="10" t="s">
        <v>439</v>
      </c>
      <c r="T58" s="10" t="s">
        <v>439</v>
      </c>
      <c r="U58" s="10" t="s">
        <v>439</v>
      </c>
      <c r="V58" s="1" t="s">
        <v>439</v>
      </c>
      <c r="W58" s="10" t="s">
        <v>439</v>
      </c>
      <c r="X58" s="119" t="s">
        <v>439</v>
      </c>
      <c r="Y58" s="10" t="s">
        <v>439</v>
      </c>
    </row>
    <row r="59" spans="4:25" x14ac:dyDescent="0.2">
      <c r="D59" s="404"/>
      <c r="E59" s="404"/>
      <c r="F59" s="404"/>
      <c r="G59" s="404"/>
      <c r="H59" s="404"/>
      <c r="I59" s="404"/>
      <c r="J59" s="404"/>
      <c r="K59" s="404"/>
      <c r="O59" s="119" t="s">
        <v>439</v>
      </c>
      <c r="P59" s="16" t="s">
        <v>439</v>
      </c>
      <c r="Q59" s="252" t="s">
        <v>439</v>
      </c>
      <c r="R59" s="10" t="s">
        <v>439</v>
      </c>
      <c r="S59" s="10" t="s">
        <v>439</v>
      </c>
      <c r="T59" s="10" t="s">
        <v>439</v>
      </c>
      <c r="U59" s="10" t="s">
        <v>439</v>
      </c>
      <c r="V59" s="1" t="s">
        <v>439</v>
      </c>
      <c r="W59" s="10" t="s">
        <v>439</v>
      </c>
      <c r="X59" s="119" t="s">
        <v>439</v>
      </c>
      <c r="Y59" s="10" t="s">
        <v>439</v>
      </c>
    </row>
    <row r="60" spans="4:25" x14ac:dyDescent="0.2">
      <c r="D60" s="404"/>
      <c r="E60" s="404"/>
      <c r="F60" s="404"/>
      <c r="G60" s="404"/>
      <c r="H60" s="404"/>
      <c r="I60" s="404"/>
      <c r="J60" s="404"/>
      <c r="K60" s="404"/>
      <c r="O60" s="119" t="s">
        <v>439</v>
      </c>
      <c r="P60" s="16" t="s">
        <v>439</v>
      </c>
      <c r="Q60" s="252" t="s">
        <v>439</v>
      </c>
      <c r="R60" s="10" t="s">
        <v>439</v>
      </c>
      <c r="S60" s="10" t="s">
        <v>439</v>
      </c>
      <c r="T60" s="10" t="s">
        <v>439</v>
      </c>
      <c r="U60" s="10" t="s">
        <v>439</v>
      </c>
      <c r="V60" s="1" t="s">
        <v>439</v>
      </c>
      <c r="W60" s="10" t="s">
        <v>439</v>
      </c>
      <c r="X60" s="119" t="s">
        <v>439</v>
      </c>
      <c r="Y60" s="10" t="s">
        <v>439</v>
      </c>
    </row>
    <row r="61" spans="4:25" x14ac:dyDescent="0.2">
      <c r="D61" s="404"/>
      <c r="E61" s="404"/>
      <c r="F61" s="404"/>
      <c r="G61" s="404"/>
      <c r="H61" s="404"/>
      <c r="I61" s="404"/>
      <c r="J61" s="404"/>
      <c r="K61" s="404"/>
      <c r="O61" s="119" t="s">
        <v>439</v>
      </c>
      <c r="P61" s="16" t="s">
        <v>439</v>
      </c>
      <c r="Q61" s="252" t="s">
        <v>439</v>
      </c>
      <c r="R61" s="10" t="s">
        <v>439</v>
      </c>
      <c r="S61" s="10" t="s">
        <v>439</v>
      </c>
      <c r="T61" s="10" t="s">
        <v>439</v>
      </c>
      <c r="U61" s="10" t="s">
        <v>439</v>
      </c>
      <c r="V61" s="1" t="s">
        <v>439</v>
      </c>
      <c r="W61" s="10" t="s">
        <v>439</v>
      </c>
      <c r="X61" s="119" t="s">
        <v>439</v>
      </c>
      <c r="Y61" s="10" t="s">
        <v>439</v>
      </c>
    </row>
    <row r="62" spans="4:25" x14ac:dyDescent="0.2">
      <c r="D62" s="404"/>
      <c r="E62" s="404"/>
      <c r="F62" s="404"/>
      <c r="G62" s="404"/>
      <c r="H62" s="404"/>
      <c r="I62" s="404"/>
      <c r="J62" s="404"/>
      <c r="K62" s="404"/>
      <c r="O62" s="119" t="s">
        <v>439</v>
      </c>
      <c r="P62" s="16" t="s">
        <v>439</v>
      </c>
      <c r="Q62" s="252" t="s">
        <v>439</v>
      </c>
      <c r="R62" s="10" t="s">
        <v>439</v>
      </c>
      <c r="S62" s="10" t="s">
        <v>439</v>
      </c>
      <c r="T62" s="10" t="s">
        <v>439</v>
      </c>
      <c r="U62" s="10" t="s">
        <v>439</v>
      </c>
      <c r="V62" s="1" t="s">
        <v>439</v>
      </c>
      <c r="W62" s="10" t="s">
        <v>439</v>
      </c>
      <c r="X62" s="119" t="s">
        <v>439</v>
      </c>
      <c r="Y62" s="10" t="s">
        <v>439</v>
      </c>
    </row>
    <row r="63" spans="4:25" x14ac:dyDescent="0.2">
      <c r="D63" s="404"/>
      <c r="E63" s="404"/>
      <c r="F63" s="404"/>
      <c r="G63" s="404"/>
      <c r="H63" s="404"/>
      <c r="I63" s="404"/>
      <c r="J63" s="404"/>
      <c r="K63" s="404"/>
      <c r="O63" s="119" t="s">
        <v>439</v>
      </c>
      <c r="P63" s="16" t="s">
        <v>439</v>
      </c>
      <c r="Q63" s="252" t="s">
        <v>439</v>
      </c>
      <c r="R63" s="10" t="s">
        <v>439</v>
      </c>
      <c r="S63" s="10" t="s">
        <v>439</v>
      </c>
      <c r="T63" s="10" t="s">
        <v>439</v>
      </c>
      <c r="U63" s="10" t="s">
        <v>439</v>
      </c>
      <c r="V63" s="1" t="s">
        <v>439</v>
      </c>
      <c r="W63" s="10" t="s">
        <v>439</v>
      </c>
      <c r="X63" s="119" t="s">
        <v>439</v>
      </c>
      <c r="Y63" s="10" t="s">
        <v>439</v>
      </c>
    </row>
    <row r="64" spans="4:25" x14ac:dyDescent="0.2">
      <c r="D64" s="404"/>
      <c r="E64" s="404"/>
      <c r="F64" s="404"/>
      <c r="G64" s="404"/>
      <c r="H64" s="404"/>
      <c r="I64" s="404"/>
      <c r="J64" s="404"/>
      <c r="K64" s="404"/>
      <c r="O64" s="119" t="s">
        <v>439</v>
      </c>
      <c r="P64" s="16" t="s">
        <v>439</v>
      </c>
      <c r="Q64" s="252" t="s">
        <v>439</v>
      </c>
      <c r="R64" s="10" t="s">
        <v>439</v>
      </c>
      <c r="S64" s="10" t="s">
        <v>439</v>
      </c>
      <c r="T64" s="10" t="s">
        <v>439</v>
      </c>
      <c r="U64" s="10" t="s">
        <v>439</v>
      </c>
      <c r="V64" s="1" t="s">
        <v>439</v>
      </c>
      <c r="W64" s="10" t="s">
        <v>439</v>
      </c>
      <c r="X64" s="119" t="s">
        <v>439</v>
      </c>
      <c r="Y64" s="10" t="s">
        <v>439</v>
      </c>
    </row>
    <row r="65" spans="4:25" x14ac:dyDescent="0.2">
      <c r="D65" s="404"/>
      <c r="E65" s="404"/>
      <c r="F65" s="404"/>
      <c r="G65" s="404"/>
      <c r="H65" s="404"/>
      <c r="I65" s="404"/>
      <c r="J65" s="404"/>
      <c r="K65" s="404"/>
      <c r="O65" s="119" t="s">
        <v>439</v>
      </c>
      <c r="P65" s="16" t="s">
        <v>439</v>
      </c>
      <c r="Q65" s="252" t="s">
        <v>439</v>
      </c>
      <c r="R65" s="10" t="s">
        <v>439</v>
      </c>
      <c r="S65" s="10" t="s">
        <v>439</v>
      </c>
      <c r="T65" s="10" t="s">
        <v>439</v>
      </c>
      <c r="U65" s="10" t="s">
        <v>439</v>
      </c>
      <c r="V65" s="1" t="s">
        <v>439</v>
      </c>
      <c r="W65" s="10" t="s">
        <v>439</v>
      </c>
      <c r="X65" s="119" t="s">
        <v>439</v>
      </c>
      <c r="Y65" s="10" t="s">
        <v>439</v>
      </c>
    </row>
    <row r="66" spans="4:25" x14ac:dyDescent="0.2">
      <c r="D66" s="404"/>
      <c r="E66" s="404"/>
      <c r="F66" s="404"/>
      <c r="G66" s="404"/>
      <c r="H66" s="404"/>
      <c r="I66" s="404"/>
      <c r="J66" s="404"/>
      <c r="K66" s="404"/>
      <c r="O66" s="119" t="s">
        <v>439</v>
      </c>
      <c r="P66" s="16" t="s">
        <v>439</v>
      </c>
      <c r="Q66" s="252" t="s">
        <v>439</v>
      </c>
      <c r="R66" s="10" t="s">
        <v>439</v>
      </c>
      <c r="S66" s="10" t="s">
        <v>439</v>
      </c>
      <c r="T66" s="10" t="s">
        <v>439</v>
      </c>
      <c r="U66" s="10" t="s">
        <v>439</v>
      </c>
      <c r="V66" s="1" t="s">
        <v>439</v>
      </c>
      <c r="W66" s="10" t="s">
        <v>439</v>
      </c>
      <c r="X66" s="119" t="s">
        <v>439</v>
      </c>
      <c r="Y66" s="10" t="s">
        <v>439</v>
      </c>
    </row>
    <row r="67" spans="4:25" x14ac:dyDescent="0.2">
      <c r="D67" s="404"/>
      <c r="E67" s="404"/>
      <c r="F67" s="404"/>
      <c r="G67" s="404"/>
      <c r="H67" s="404"/>
      <c r="I67" s="404"/>
      <c r="J67" s="404"/>
      <c r="K67" s="404"/>
      <c r="O67" s="119" t="s">
        <v>439</v>
      </c>
      <c r="P67" s="16" t="s">
        <v>439</v>
      </c>
      <c r="Q67" s="252" t="s">
        <v>439</v>
      </c>
      <c r="R67" s="10" t="s">
        <v>439</v>
      </c>
      <c r="S67" s="10" t="s">
        <v>439</v>
      </c>
      <c r="T67" s="10" t="s">
        <v>439</v>
      </c>
      <c r="U67" s="10" t="s">
        <v>439</v>
      </c>
      <c r="V67" s="1" t="s">
        <v>439</v>
      </c>
      <c r="W67" s="10" t="s">
        <v>439</v>
      </c>
      <c r="X67" s="119" t="s">
        <v>439</v>
      </c>
      <c r="Y67" s="10" t="s">
        <v>439</v>
      </c>
    </row>
    <row r="68" spans="4:25" x14ac:dyDescent="0.2">
      <c r="D68" s="404"/>
      <c r="E68" s="404"/>
      <c r="F68" s="404"/>
      <c r="G68" s="404"/>
      <c r="H68" s="404"/>
      <c r="I68" s="404"/>
      <c r="J68" s="404"/>
      <c r="K68" s="404"/>
      <c r="O68" s="119" t="s">
        <v>439</v>
      </c>
      <c r="P68" s="16" t="s">
        <v>439</v>
      </c>
      <c r="Q68" s="252" t="s">
        <v>439</v>
      </c>
      <c r="R68" s="10" t="s">
        <v>439</v>
      </c>
      <c r="S68" s="10" t="s">
        <v>439</v>
      </c>
      <c r="T68" s="10" t="s">
        <v>439</v>
      </c>
      <c r="U68" s="10" t="s">
        <v>439</v>
      </c>
      <c r="V68" s="1" t="s">
        <v>439</v>
      </c>
      <c r="W68" s="10" t="s">
        <v>439</v>
      </c>
      <c r="X68" s="119" t="s">
        <v>439</v>
      </c>
      <c r="Y68" s="10" t="s">
        <v>439</v>
      </c>
    </row>
    <row r="69" spans="4:25" x14ac:dyDescent="0.2">
      <c r="D69" s="404"/>
      <c r="E69" s="404"/>
      <c r="F69" s="404"/>
      <c r="G69" s="404"/>
      <c r="H69" s="404"/>
      <c r="I69" s="404"/>
      <c r="J69" s="404"/>
      <c r="K69" s="404"/>
      <c r="O69" s="119" t="s">
        <v>439</v>
      </c>
      <c r="P69" s="16" t="s">
        <v>439</v>
      </c>
      <c r="Q69" s="252" t="s">
        <v>439</v>
      </c>
      <c r="R69" s="10" t="s">
        <v>439</v>
      </c>
      <c r="S69" s="10" t="s">
        <v>439</v>
      </c>
      <c r="T69" s="10" t="s">
        <v>439</v>
      </c>
      <c r="U69" s="10" t="s">
        <v>439</v>
      </c>
      <c r="V69" s="1" t="s">
        <v>439</v>
      </c>
      <c r="W69" s="10" t="s">
        <v>439</v>
      </c>
      <c r="X69" s="119" t="s">
        <v>439</v>
      </c>
      <c r="Y69" s="10" t="s">
        <v>439</v>
      </c>
    </row>
    <row r="70" spans="4:25" x14ac:dyDescent="0.2">
      <c r="D70" s="404"/>
      <c r="E70" s="404"/>
      <c r="F70" s="404"/>
      <c r="G70" s="404"/>
      <c r="H70" s="404"/>
      <c r="I70" s="404"/>
      <c r="J70" s="404"/>
      <c r="K70" s="404"/>
      <c r="O70" s="119" t="s">
        <v>439</v>
      </c>
      <c r="P70" s="16" t="s">
        <v>439</v>
      </c>
      <c r="Q70" s="252" t="s">
        <v>439</v>
      </c>
      <c r="R70" s="10" t="s">
        <v>439</v>
      </c>
      <c r="S70" s="10" t="s">
        <v>439</v>
      </c>
      <c r="T70" s="10" t="s">
        <v>439</v>
      </c>
      <c r="U70" s="10" t="s">
        <v>439</v>
      </c>
      <c r="V70" s="1" t="s">
        <v>439</v>
      </c>
      <c r="W70" s="10" t="s">
        <v>439</v>
      </c>
      <c r="X70" s="119" t="s">
        <v>439</v>
      </c>
      <c r="Y70" s="10" t="s">
        <v>439</v>
      </c>
    </row>
    <row r="71" spans="4:25" x14ac:dyDescent="0.2">
      <c r="D71" s="404"/>
      <c r="E71" s="404"/>
      <c r="F71" s="404"/>
      <c r="G71" s="404"/>
      <c r="H71" s="404"/>
      <c r="I71" s="404"/>
      <c r="J71" s="404"/>
      <c r="K71" s="404"/>
      <c r="O71" s="119" t="s">
        <v>439</v>
      </c>
      <c r="P71" s="16" t="s">
        <v>439</v>
      </c>
      <c r="Q71" s="252" t="s">
        <v>439</v>
      </c>
      <c r="R71" s="10" t="s">
        <v>439</v>
      </c>
      <c r="S71" s="10" t="s">
        <v>439</v>
      </c>
      <c r="T71" s="10" t="s">
        <v>439</v>
      </c>
      <c r="U71" s="10" t="s">
        <v>439</v>
      </c>
      <c r="V71" s="1" t="s">
        <v>439</v>
      </c>
      <c r="W71" s="10" t="s">
        <v>439</v>
      </c>
      <c r="X71" s="119" t="s">
        <v>439</v>
      </c>
      <c r="Y71" s="10" t="s">
        <v>439</v>
      </c>
    </row>
    <row r="72" spans="4:25" x14ac:dyDescent="0.2">
      <c r="D72" s="404"/>
      <c r="E72" s="404"/>
      <c r="F72" s="404"/>
      <c r="G72" s="404"/>
      <c r="H72" s="404"/>
      <c r="I72" s="404"/>
      <c r="J72" s="404"/>
      <c r="K72" s="404"/>
      <c r="O72" s="119" t="s">
        <v>439</v>
      </c>
      <c r="P72" s="16" t="s">
        <v>439</v>
      </c>
      <c r="Q72" s="252" t="s">
        <v>439</v>
      </c>
      <c r="R72" s="10" t="s">
        <v>439</v>
      </c>
      <c r="S72" s="10" t="s">
        <v>439</v>
      </c>
      <c r="T72" s="10" t="s">
        <v>439</v>
      </c>
      <c r="U72" s="10" t="s">
        <v>439</v>
      </c>
      <c r="V72" s="1" t="s">
        <v>439</v>
      </c>
      <c r="W72" s="10" t="s">
        <v>439</v>
      </c>
      <c r="X72" s="119" t="s">
        <v>439</v>
      </c>
      <c r="Y72" s="10" t="s">
        <v>439</v>
      </c>
    </row>
    <row r="73" spans="4:25" x14ac:dyDescent="0.2">
      <c r="D73" s="404"/>
      <c r="E73" s="404"/>
      <c r="F73" s="404"/>
      <c r="G73" s="404"/>
      <c r="H73" s="404"/>
      <c r="I73" s="404"/>
      <c r="J73" s="404"/>
      <c r="K73" s="404"/>
      <c r="O73" s="119" t="s">
        <v>439</v>
      </c>
      <c r="P73" s="16" t="s">
        <v>439</v>
      </c>
      <c r="Q73" s="252" t="s">
        <v>439</v>
      </c>
      <c r="R73" s="10" t="s">
        <v>439</v>
      </c>
      <c r="S73" s="10" t="s">
        <v>439</v>
      </c>
      <c r="T73" s="10" t="s">
        <v>439</v>
      </c>
      <c r="U73" s="10" t="s">
        <v>439</v>
      </c>
      <c r="V73" s="1" t="s">
        <v>439</v>
      </c>
      <c r="W73" s="10" t="s">
        <v>439</v>
      </c>
      <c r="X73" s="119" t="s">
        <v>439</v>
      </c>
      <c r="Y73" s="10" t="s">
        <v>439</v>
      </c>
    </row>
    <row r="74" spans="4:25" x14ac:dyDescent="0.2">
      <c r="D74" s="404"/>
      <c r="E74" s="404"/>
      <c r="F74" s="404"/>
      <c r="G74" s="404"/>
      <c r="H74" s="404"/>
      <c r="I74" s="404"/>
      <c r="J74" s="404"/>
      <c r="K74" s="404"/>
      <c r="O74" s="119" t="s">
        <v>439</v>
      </c>
      <c r="P74" s="16" t="s">
        <v>439</v>
      </c>
      <c r="Q74" s="252" t="s">
        <v>439</v>
      </c>
      <c r="R74" s="10" t="s">
        <v>439</v>
      </c>
      <c r="S74" s="10" t="s">
        <v>439</v>
      </c>
      <c r="T74" s="10" t="s">
        <v>439</v>
      </c>
      <c r="U74" s="10" t="s">
        <v>439</v>
      </c>
      <c r="V74" s="1" t="s">
        <v>439</v>
      </c>
      <c r="W74" s="10" t="s">
        <v>439</v>
      </c>
      <c r="X74" s="119" t="s">
        <v>439</v>
      </c>
      <c r="Y74" s="10" t="s">
        <v>439</v>
      </c>
    </row>
    <row r="75" spans="4:25" x14ac:dyDescent="0.2">
      <c r="D75" s="404"/>
      <c r="E75" s="404"/>
      <c r="F75" s="404"/>
      <c r="G75" s="404"/>
      <c r="H75" s="404"/>
      <c r="I75" s="404"/>
      <c r="J75" s="404"/>
      <c r="K75" s="404"/>
      <c r="O75" s="119" t="s">
        <v>439</v>
      </c>
      <c r="P75" s="16" t="s">
        <v>439</v>
      </c>
      <c r="Q75" s="252" t="s">
        <v>439</v>
      </c>
      <c r="R75" s="10" t="s">
        <v>439</v>
      </c>
      <c r="S75" s="10" t="s">
        <v>439</v>
      </c>
      <c r="T75" s="10" t="s">
        <v>439</v>
      </c>
      <c r="U75" s="10" t="s">
        <v>439</v>
      </c>
      <c r="V75" s="1" t="s">
        <v>439</v>
      </c>
      <c r="W75" s="10" t="s">
        <v>439</v>
      </c>
      <c r="X75" s="119" t="s">
        <v>439</v>
      </c>
      <c r="Y75" s="10" t="s">
        <v>439</v>
      </c>
    </row>
    <row r="76" spans="4:25" x14ac:dyDescent="0.2">
      <c r="D76" s="404"/>
      <c r="E76" s="404"/>
      <c r="F76" s="404"/>
      <c r="G76" s="404"/>
      <c r="H76" s="404"/>
      <c r="I76" s="404"/>
      <c r="J76" s="404"/>
      <c r="K76" s="404"/>
      <c r="O76" s="119" t="s">
        <v>439</v>
      </c>
      <c r="P76" s="16" t="s">
        <v>439</v>
      </c>
      <c r="Q76" s="252" t="s">
        <v>439</v>
      </c>
      <c r="R76" s="10" t="s">
        <v>439</v>
      </c>
      <c r="S76" s="10" t="s">
        <v>439</v>
      </c>
      <c r="T76" s="10" t="s">
        <v>439</v>
      </c>
      <c r="U76" s="10" t="s">
        <v>439</v>
      </c>
      <c r="V76" s="1" t="s">
        <v>439</v>
      </c>
      <c r="W76" s="10" t="s">
        <v>439</v>
      </c>
      <c r="X76" s="119" t="s">
        <v>439</v>
      </c>
      <c r="Y76" s="10" t="s">
        <v>439</v>
      </c>
    </row>
    <row r="77" spans="4:25" x14ac:dyDescent="0.2">
      <c r="D77" s="404"/>
      <c r="E77" s="404"/>
      <c r="F77" s="404"/>
      <c r="G77" s="404"/>
      <c r="H77" s="404"/>
      <c r="I77" s="404"/>
      <c r="J77" s="404"/>
      <c r="K77" s="404"/>
      <c r="O77" s="119" t="s">
        <v>439</v>
      </c>
      <c r="P77" s="16" t="s">
        <v>439</v>
      </c>
      <c r="Q77" s="252" t="s">
        <v>439</v>
      </c>
      <c r="R77" s="10" t="s">
        <v>439</v>
      </c>
      <c r="S77" s="10" t="s">
        <v>439</v>
      </c>
      <c r="T77" s="10" t="s">
        <v>439</v>
      </c>
      <c r="U77" s="10" t="s">
        <v>439</v>
      </c>
      <c r="V77" s="1" t="s">
        <v>439</v>
      </c>
      <c r="W77" s="10" t="s">
        <v>439</v>
      </c>
      <c r="X77" s="119" t="s">
        <v>439</v>
      </c>
      <c r="Y77" s="10" t="s">
        <v>439</v>
      </c>
    </row>
    <row r="78" spans="4:25" x14ac:dyDescent="0.2">
      <c r="D78" s="404"/>
      <c r="E78" s="404"/>
      <c r="F78" s="404"/>
      <c r="G78" s="404"/>
      <c r="H78" s="404"/>
      <c r="I78" s="404"/>
      <c r="J78" s="404"/>
      <c r="K78" s="404"/>
      <c r="O78" s="119" t="s">
        <v>439</v>
      </c>
      <c r="P78" s="16" t="s">
        <v>439</v>
      </c>
      <c r="Q78" s="252" t="s">
        <v>439</v>
      </c>
      <c r="R78" s="10" t="s">
        <v>439</v>
      </c>
      <c r="S78" s="10" t="s">
        <v>439</v>
      </c>
      <c r="T78" s="10" t="s">
        <v>439</v>
      </c>
      <c r="U78" s="10" t="s">
        <v>439</v>
      </c>
      <c r="V78" s="1" t="s">
        <v>439</v>
      </c>
      <c r="W78" s="10" t="s">
        <v>439</v>
      </c>
      <c r="X78" s="119" t="s">
        <v>439</v>
      </c>
      <c r="Y78" s="10" t="s">
        <v>439</v>
      </c>
    </row>
    <row r="79" spans="4:25" x14ac:dyDescent="0.2">
      <c r="D79" s="404"/>
      <c r="E79" s="404"/>
      <c r="F79" s="404"/>
      <c r="G79" s="404"/>
      <c r="H79" s="404"/>
      <c r="I79" s="404"/>
      <c r="J79" s="404"/>
      <c r="K79" s="404"/>
      <c r="O79" s="119" t="s">
        <v>439</v>
      </c>
      <c r="P79" s="16" t="s">
        <v>439</v>
      </c>
      <c r="Q79" s="252" t="s">
        <v>439</v>
      </c>
      <c r="R79" s="10" t="s">
        <v>439</v>
      </c>
      <c r="S79" s="10" t="s">
        <v>439</v>
      </c>
      <c r="T79" s="10" t="s">
        <v>439</v>
      </c>
      <c r="U79" s="10" t="s">
        <v>439</v>
      </c>
      <c r="V79" s="1" t="s">
        <v>439</v>
      </c>
      <c r="W79" s="10" t="s">
        <v>439</v>
      </c>
      <c r="X79" s="119" t="s">
        <v>439</v>
      </c>
      <c r="Y79" s="10" t="s">
        <v>439</v>
      </c>
    </row>
    <row r="80" spans="4:25" x14ac:dyDescent="0.2">
      <c r="D80" s="404"/>
      <c r="E80" s="404"/>
      <c r="F80" s="404"/>
      <c r="G80" s="404"/>
      <c r="H80" s="404"/>
      <c r="I80" s="404"/>
      <c r="J80" s="404"/>
      <c r="K80" s="404"/>
      <c r="O80" s="119" t="s">
        <v>439</v>
      </c>
      <c r="P80" s="16" t="s">
        <v>439</v>
      </c>
      <c r="Q80" s="252" t="s">
        <v>439</v>
      </c>
      <c r="R80" s="10" t="s">
        <v>439</v>
      </c>
      <c r="S80" s="10" t="s">
        <v>439</v>
      </c>
      <c r="T80" s="10" t="s">
        <v>439</v>
      </c>
      <c r="U80" s="10" t="s">
        <v>439</v>
      </c>
      <c r="V80" s="1" t="s">
        <v>439</v>
      </c>
      <c r="W80" s="10" t="s">
        <v>439</v>
      </c>
      <c r="X80" s="119" t="s">
        <v>439</v>
      </c>
      <c r="Y80" s="10" t="s">
        <v>439</v>
      </c>
    </row>
    <row r="81" spans="4:25" x14ac:dyDescent="0.2">
      <c r="D81" s="404"/>
      <c r="E81" s="404"/>
      <c r="F81" s="404"/>
      <c r="G81" s="404"/>
      <c r="H81" s="404"/>
      <c r="I81" s="404"/>
      <c r="J81" s="404"/>
      <c r="K81" s="404"/>
      <c r="O81" s="119" t="s">
        <v>439</v>
      </c>
      <c r="P81" s="16" t="s">
        <v>439</v>
      </c>
      <c r="Q81" s="252" t="s">
        <v>439</v>
      </c>
      <c r="R81" s="10" t="s">
        <v>439</v>
      </c>
      <c r="S81" s="10" t="s">
        <v>439</v>
      </c>
      <c r="T81" s="10" t="s">
        <v>439</v>
      </c>
      <c r="U81" s="10" t="s">
        <v>439</v>
      </c>
      <c r="V81" s="1" t="s">
        <v>439</v>
      </c>
      <c r="W81" s="10" t="s">
        <v>439</v>
      </c>
      <c r="X81" s="119" t="s">
        <v>439</v>
      </c>
      <c r="Y81" s="10" t="s">
        <v>439</v>
      </c>
    </row>
    <row r="82" spans="4:25" x14ac:dyDescent="0.2">
      <c r="D82" s="404"/>
      <c r="E82" s="404"/>
      <c r="F82" s="404"/>
      <c r="G82" s="404"/>
      <c r="H82" s="404"/>
      <c r="I82" s="404"/>
      <c r="J82" s="404"/>
      <c r="K82" s="404"/>
      <c r="O82" s="119" t="s">
        <v>439</v>
      </c>
      <c r="P82" s="16" t="s">
        <v>439</v>
      </c>
      <c r="Q82" s="252" t="s">
        <v>439</v>
      </c>
      <c r="R82" s="10" t="s">
        <v>439</v>
      </c>
      <c r="S82" s="10" t="s">
        <v>439</v>
      </c>
      <c r="T82" s="10" t="s">
        <v>439</v>
      </c>
      <c r="U82" s="10" t="s">
        <v>439</v>
      </c>
      <c r="V82" s="1" t="s">
        <v>439</v>
      </c>
      <c r="W82" s="10" t="s">
        <v>439</v>
      </c>
      <c r="X82" s="119" t="s">
        <v>439</v>
      </c>
      <c r="Y82" s="10" t="s">
        <v>439</v>
      </c>
    </row>
    <row r="83" spans="4:25" x14ac:dyDescent="0.2">
      <c r="D83" s="404"/>
      <c r="E83" s="404"/>
      <c r="F83" s="404"/>
      <c r="G83" s="404"/>
      <c r="H83" s="404"/>
      <c r="I83" s="404"/>
      <c r="J83" s="404"/>
      <c r="K83" s="404"/>
      <c r="O83" s="119" t="s">
        <v>439</v>
      </c>
      <c r="P83" s="16" t="s">
        <v>439</v>
      </c>
      <c r="Q83" s="252" t="s">
        <v>439</v>
      </c>
      <c r="R83" s="10" t="s">
        <v>439</v>
      </c>
      <c r="S83" s="10" t="s">
        <v>439</v>
      </c>
      <c r="T83" s="10" t="s">
        <v>439</v>
      </c>
      <c r="U83" s="10" t="s">
        <v>439</v>
      </c>
      <c r="V83" s="1" t="s">
        <v>439</v>
      </c>
      <c r="W83" s="10" t="s">
        <v>439</v>
      </c>
      <c r="X83" s="119" t="s">
        <v>439</v>
      </c>
      <c r="Y83" s="10" t="s">
        <v>439</v>
      </c>
    </row>
    <row r="84" spans="4:25" x14ac:dyDescent="0.2">
      <c r="D84" s="404"/>
      <c r="E84" s="404"/>
      <c r="F84" s="404"/>
      <c r="G84" s="404"/>
      <c r="H84" s="404"/>
      <c r="I84" s="404"/>
      <c r="J84" s="404"/>
      <c r="K84" s="404"/>
      <c r="O84" s="119" t="s">
        <v>439</v>
      </c>
      <c r="P84" s="16" t="s">
        <v>439</v>
      </c>
      <c r="Q84" s="252" t="s">
        <v>439</v>
      </c>
      <c r="R84" s="10" t="s">
        <v>439</v>
      </c>
      <c r="S84" s="10" t="s">
        <v>439</v>
      </c>
      <c r="T84" s="10" t="s">
        <v>439</v>
      </c>
      <c r="U84" s="10" t="s">
        <v>439</v>
      </c>
      <c r="V84" s="1" t="s">
        <v>439</v>
      </c>
      <c r="W84" s="10" t="s">
        <v>439</v>
      </c>
      <c r="X84" s="119" t="s">
        <v>439</v>
      </c>
      <c r="Y84" s="10" t="s">
        <v>439</v>
      </c>
    </row>
    <row r="85" spans="4:25" x14ac:dyDescent="0.2">
      <c r="D85" s="404"/>
      <c r="E85" s="404"/>
      <c r="F85" s="404"/>
      <c r="G85" s="404"/>
      <c r="H85" s="404"/>
      <c r="I85" s="404"/>
      <c r="J85" s="404"/>
      <c r="K85" s="404"/>
      <c r="O85" s="119" t="s">
        <v>439</v>
      </c>
      <c r="P85" s="16" t="s">
        <v>439</v>
      </c>
      <c r="Q85" s="252" t="s">
        <v>439</v>
      </c>
      <c r="R85" s="10" t="s">
        <v>439</v>
      </c>
      <c r="S85" s="10" t="s">
        <v>439</v>
      </c>
      <c r="T85" s="10" t="s">
        <v>439</v>
      </c>
      <c r="U85" s="10" t="s">
        <v>439</v>
      </c>
      <c r="V85" s="1" t="s">
        <v>439</v>
      </c>
      <c r="W85" s="10" t="s">
        <v>439</v>
      </c>
      <c r="X85" s="119" t="s">
        <v>439</v>
      </c>
      <c r="Y85" s="10" t="s">
        <v>439</v>
      </c>
    </row>
    <row r="86" spans="4:25" x14ac:dyDescent="0.2">
      <c r="D86" s="404"/>
      <c r="E86" s="404"/>
      <c r="F86" s="404"/>
      <c r="G86" s="404"/>
      <c r="H86" s="404"/>
      <c r="I86" s="404"/>
      <c r="J86" s="404"/>
      <c r="K86" s="404"/>
      <c r="O86" s="119" t="s">
        <v>439</v>
      </c>
      <c r="P86" s="16" t="s">
        <v>439</v>
      </c>
      <c r="Q86" s="252" t="s">
        <v>439</v>
      </c>
      <c r="R86" s="10" t="s">
        <v>439</v>
      </c>
      <c r="S86" s="10" t="s">
        <v>439</v>
      </c>
      <c r="T86" s="10" t="s">
        <v>439</v>
      </c>
      <c r="U86" s="10" t="s">
        <v>439</v>
      </c>
      <c r="V86" s="1" t="s">
        <v>439</v>
      </c>
      <c r="W86" s="10" t="s">
        <v>439</v>
      </c>
      <c r="X86" s="119" t="s">
        <v>439</v>
      </c>
      <c r="Y86" s="10" t="s">
        <v>439</v>
      </c>
    </row>
    <row r="87" spans="4:25" x14ac:dyDescent="0.2">
      <c r="D87" s="404"/>
      <c r="E87" s="404"/>
      <c r="F87" s="404"/>
      <c r="G87" s="404"/>
      <c r="H87" s="404"/>
      <c r="I87" s="404"/>
      <c r="J87" s="404"/>
      <c r="K87" s="404"/>
      <c r="O87" s="119" t="s">
        <v>439</v>
      </c>
      <c r="P87" s="16" t="s">
        <v>439</v>
      </c>
      <c r="Q87" s="252" t="s">
        <v>439</v>
      </c>
      <c r="R87" s="10" t="s">
        <v>439</v>
      </c>
      <c r="S87" s="10" t="s">
        <v>439</v>
      </c>
      <c r="T87" s="10" t="s">
        <v>439</v>
      </c>
      <c r="U87" s="10" t="s">
        <v>439</v>
      </c>
      <c r="V87" s="1" t="s">
        <v>439</v>
      </c>
      <c r="W87" s="10" t="s">
        <v>439</v>
      </c>
      <c r="X87" s="119" t="s">
        <v>439</v>
      </c>
      <c r="Y87" s="10" t="s">
        <v>439</v>
      </c>
    </row>
    <row r="88" spans="4:25" x14ac:dyDescent="0.2">
      <c r="D88" s="404"/>
      <c r="E88" s="404"/>
      <c r="F88" s="404"/>
      <c r="G88" s="404"/>
      <c r="H88" s="404"/>
      <c r="I88" s="404"/>
      <c r="J88" s="404"/>
      <c r="K88" s="404"/>
      <c r="O88" s="119" t="s">
        <v>439</v>
      </c>
      <c r="P88" s="16" t="s">
        <v>439</v>
      </c>
      <c r="Q88" s="252" t="s">
        <v>439</v>
      </c>
      <c r="R88" s="10" t="s">
        <v>439</v>
      </c>
      <c r="S88" s="10" t="s">
        <v>439</v>
      </c>
      <c r="T88" s="10" t="s">
        <v>439</v>
      </c>
      <c r="U88" s="10" t="s">
        <v>439</v>
      </c>
      <c r="V88" s="1" t="s">
        <v>439</v>
      </c>
      <c r="W88" s="10" t="s">
        <v>439</v>
      </c>
      <c r="X88" s="119" t="s">
        <v>439</v>
      </c>
      <c r="Y88" s="10" t="s">
        <v>439</v>
      </c>
    </row>
    <row r="89" spans="4:25" x14ac:dyDescent="0.2">
      <c r="D89" s="404"/>
      <c r="E89" s="404"/>
      <c r="F89" s="404"/>
      <c r="G89" s="404"/>
      <c r="H89" s="404"/>
      <c r="I89" s="404"/>
      <c r="J89" s="404"/>
      <c r="K89" s="404"/>
      <c r="O89" s="119" t="s">
        <v>439</v>
      </c>
      <c r="P89" s="16" t="s">
        <v>439</v>
      </c>
      <c r="Q89" s="252" t="s">
        <v>439</v>
      </c>
      <c r="R89" s="10" t="s">
        <v>439</v>
      </c>
      <c r="S89" s="10" t="s">
        <v>439</v>
      </c>
      <c r="T89" s="10" t="s">
        <v>439</v>
      </c>
      <c r="U89" s="10" t="s">
        <v>439</v>
      </c>
      <c r="V89" s="1" t="s">
        <v>439</v>
      </c>
      <c r="W89" s="10" t="s">
        <v>439</v>
      </c>
      <c r="X89" s="119" t="s">
        <v>439</v>
      </c>
      <c r="Y89" s="10" t="s">
        <v>439</v>
      </c>
    </row>
    <row r="90" spans="4:25" x14ac:dyDescent="0.2">
      <c r="D90" s="404"/>
      <c r="E90" s="404"/>
      <c r="F90" s="404"/>
      <c r="G90" s="404"/>
      <c r="H90" s="404"/>
      <c r="I90" s="404"/>
      <c r="J90" s="404"/>
      <c r="K90" s="404"/>
      <c r="O90" s="119" t="s">
        <v>439</v>
      </c>
      <c r="P90" s="16" t="s">
        <v>439</v>
      </c>
      <c r="Q90" s="252" t="s">
        <v>439</v>
      </c>
      <c r="R90" s="10" t="s">
        <v>439</v>
      </c>
      <c r="S90" s="10" t="s">
        <v>439</v>
      </c>
      <c r="T90" s="10" t="s">
        <v>439</v>
      </c>
      <c r="U90" s="10" t="s">
        <v>439</v>
      </c>
      <c r="V90" s="1" t="s">
        <v>439</v>
      </c>
      <c r="W90" s="10" t="s">
        <v>439</v>
      </c>
      <c r="X90" s="119" t="s">
        <v>439</v>
      </c>
      <c r="Y90" s="10" t="s">
        <v>439</v>
      </c>
    </row>
    <row r="91" spans="4:25" x14ac:dyDescent="0.2">
      <c r="D91" s="404"/>
      <c r="E91" s="404"/>
      <c r="F91" s="404"/>
      <c r="G91" s="404"/>
      <c r="H91" s="404"/>
      <c r="I91" s="404"/>
      <c r="J91" s="404"/>
      <c r="K91" s="404"/>
      <c r="O91" s="119" t="s">
        <v>439</v>
      </c>
      <c r="P91" s="16" t="s">
        <v>439</v>
      </c>
      <c r="Q91" s="252" t="s">
        <v>439</v>
      </c>
      <c r="R91" s="10" t="s">
        <v>439</v>
      </c>
      <c r="S91" s="10" t="s">
        <v>439</v>
      </c>
      <c r="T91" s="10" t="s">
        <v>439</v>
      </c>
      <c r="U91" s="10" t="s">
        <v>439</v>
      </c>
      <c r="V91" s="1" t="s">
        <v>439</v>
      </c>
      <c r="W91" s="10" t="s">
        <v>439</v>
      </c>
      <c r="X91" s="119" t="s">
        <v>439</v>
      </c>
      <c r="Y91" s="10" t="s">
        <v>439</v>
      </c>
    </row>
    <row r="92" spans="4:25" x14ac:dyDescent="0.2">
      <c r="D92" s="404"/>
      <c r="E92" s="404"/>
      <c r="F92" s="404"/>
      <c r="G92" s="404"/>
      <c r="H92" s="404"/>
      <c r="I92" s="404"/>
      <c r="J92" s="404"/>
      <c r="K92" s="404"/>
      <c r="O92" s="119" t="s">
        <v>439</v>
      </c>
      <c r="P92" s="16" t="s">
        <v>439</v>
      </c>
      <c r="Q92" s="252" t="s">
        <v>439</v>
      </c>
      <c r="R92" s="10" t="s">
        <v>439</v>
      </c>
      <c r="S92" s="10" t="s">
        <v>439</v>
      </c>
      <c r="T92" s="10" t="s">
        <v>439</v>
      </c>
      <c r="U92" s="10" t="s">
        <v>439</v>
      </c>
      <c r="V92" s="1" t="s">
        <v>439</v>
      </c>
      <c r="W92" s="10" t="s">
        <v>439</v>
      </c>
      <c r="X92" s="119" t="s">
        <v>439</v>
      </c>
      <c r="Y92" s="10" t="s">
        <v>439</v>
      </c>
    </row>
    <row r="93" spans="4:25" x14ac:dyDescent="0.2">
      <c r="D93" s="404"/>
      <c r="E93" s="404"/>
      <c r="F93" s="404"/>
      <c r="G93" s="404"/>
      <c r="H93" s="404"/>
      <c r="I93" s="404"/>
      <c r="J93" s="404"/>
      <c r="K93" s="404"/>
      <c r="O93" s="119" t="s">
        <v>439</v>
      </c>
      <c r="P93" s="16" t="s">
        <v>439</v>
      </c>
      <c r="Q93" s="252" t="s">
        <v>439</v>
      </c>
      <c r="R93" s="10" t="s">
        <v>439</v>
      </c>
      <c r="S93" s="10" t="s">
        <v>439</v>
      </c>
      <c r="T93" s="10" t="s">
        <v>439</v>
      </c>
      <c r="U93" s="10" t="s">
        <v>439</v>
      </c>
      <c r="V93" s="1" t="s">
        <v>439</v>
      </c>
      <c r="W93" s="10" t="s">
        <v>439</v>
      </c>
      <c r="X93" s="119" t="s">
        <v>439</v>
      </c>
      <c r="Y93" s="10" t="s">
        <v>439</v>
      </c>
    </row>
    <row r="94" spans="4:25" x14ac:dyDescent="0.2">
      <c r="D94" s="404"/>
      <c r="E94" s="404"/>
      <c r="F94" s="404"/>
      <c r="G94" s="404"/>
      <c r="H94" s="404"/>
      <c r="I94" s="404"/>
      <c r="J94" s="404"/>
      <c r="K94" s="404"/>
      <c r="O94" s="119" t="s">
        <v>439</v>
      </c>
      <c r="P94" s="16" t="s">
        <v>439</v>
      </c>
      <c r="Q94" s="252" t="s">
        <v>439</v>
      </c>
      <c r="R94" s="10" t="s">
        <v>439</v>
      </c>
      <c r="S94" s="10" t="s">
        <v>439</v>
      </c>
      <c r="T94" s="10" t="s">
        <v>439</v>
      </c>
      <c r="U94" s="10" t="s">
        <v>439</v>
      </c>
      <c r="V94" s="1" t="s">
        <v>439</v>
      </c>
      <c r="W94" s="10" t="s">
        <v>439</v>
      </c>
      <c r="X94" s="119" t="s">
        <v>439</v>
      </c>
      <c r="Y94" s="10" t="s">
        <v>439</v>
      </c>
    </row>
    <row r="95" spans="4:25" x14ac:dyDescent="0.2">
      <c r="D95" s="404"/>
      <c r="E95" s="404"/>
      <c r="F95" s="404"/>
      <c r="G95" s="404"/>
      <c r="H95" s="404"/>
      <c r="I95" s="404"/>
      <c r="J95" s="404"/>
      <c r="K95" s="404"/>
      <c r="O95" s="119" t="s">
        <v>439</v>
      </c>
      <c r="P95" s="16" t="s">
        <v>439</v>
      </c>
      <c r="Q95" s="252" t="s">
        <v>439</v>
      </c>
      <c r="R95" s="10" t="s">
        <v>439</v>
      </c>
      <c r="S95" s="10" t="s">
        <v>439</v>
      </c>
      <c r="T95" s="10" t="s">
        <v>439</v>
      </c>
      <c r="U95" s="10" t="s">
        <v>439</v>
      </c>
      <c r="V95" s="1" t="s">
        <v>439</v>
      </c>
      <c r="W95" s="10" t="s">
        <v>439</v>
      </c>
      <c r="X95" s="119" t="s">
        <v>439</v>
      </c>
      <c r="Y95" s="10" t="s">
        <v>439</v>
      </c>
    </row>
    <row r="96" spans="4:25" x14ac:dyDescent="0.2">
      <c r="D96" s="404"/>
      <c r="E96" s="404"/>
      <c r="F96" s="404"/>
      <c r="G96" s="404"/>
      <c r="H96" s="404"/>
      <c r="I96" s="404"/>
      <c r="J96" s="404"/>
      <c r="K96" s="404"/>
      <c r="O96" s="119" t="s">
        <v>439</v>
      </c>
      <c r="P96" s="16" t="s">
        <v>439</v>
      </c>
      <c r="Q96" s="252" t="s">
        <v>439</v>
      </c>
      <c r="R96" s="10" t="s">
        <v>439</v>
      </c>
      <c r="S96" s="10" t="s">
        <v>439</v>
      </c>
      <c r="T96" s="10" t="s">
        <v>439</v>
      </c>
      <c r="U96" s="10" t="s">
        <v>439</v>
      </c>
      <c r="V96" s="1" t="s">
        <v>439</v>
      </c>
      <c r="W96" s="10" t="s">
        <v>439</v>
      </c>
      <c r="X96" s="119" t="s">
        <v>439</v>
      </c>
      <c r="Y96" s="10" t="s">
        <v>439</v>
      </c>
    </row>
    <row r="97" spans="4:25" x14ac:dyDescent="0.2">
      <c r="D97" s="404"/>
      <c r="E97" s="404"/>
      <c r="F97" s="404"/>
      <c r="G97" s="404"/>
      <c r="H97" s="404"/>
      <c r="I97" s="404"/>
      <c r="J97" s="404"/>
      <c r="K97" s="404"/>
      <c r="O97" s="119" t="s">
        <v>439</v>
      </c>
      <c r="P97" s="16" t="s">
        <v>439</v>
      </c>
      <c r="Q97" s="252" t="s">
        <v>439</v>
      </c>
      <c r="R97" s="10" t="s">
        <v>439</v>
      </c>
      <c r="S97" s="10" t="s">
        <v>439</v>
      </c>
      <c r="T97" s="10" t="s">
        <v>439</v>
      </c>
      <c r="U97" s="10" t="s">
        <v>439</v>
      </c>
      <c r="V97" s="1" t="s">
        <v>439</v>
      </c>
      <c r="W97" s="10" t="s">
        <v>439</v>
      </c>
      <c r="X97" s="119" t="s">
        <v>439</v>
      </c>
      <c r="Y97" s="10" t="s">
        <v>439</v>
      </c>
    </row>
    <row r="98" spans="4:25" x14ac:dyDescent="0.2">
      <c r="D98" s="404"/>
      <c r="E98" s="404"/>
      <c r="F98" s="404"/>
      <c r="G98" s="404"/>
      <c r="H98" s="404"/>
      <c r="I98" s="404"/>
      <c r="J98" s="404"/>
      <c r="K98" s="404"/>
      <c r="O98" s="119" t="s">
        <v>439</v>
      </c>
      <c r="P98" s="16" t="s">
        <v>439</v>
      </c>
      <c r="Q98" s="252" t="s">
        <v>439</v>
      </c>
      <c r="R98" s="10" t="s">
        <v>439</v>
      </c>
      <c r="S98" s="10" t="s">
        <v>439</v>
      </c>
      <c r="T98" s="10" t="s">
        <v>439</v>
      </c>
      <c r="U98" s="10" t="s">
        <v>439</v>
      </c>
      <c r="V98" s="1" t="s">
        <v>439</v>
      </c>
      <c r="W98" s="10" t="s">
        <v>439</v>
      </c>
      <c r="X98" s="119" t="s">
        <v>439</v>
      </c>
      <c r="Y98" s="10" t="s">
        <v>439</v>
      </c>
    </row>
    <row r="99" spans="4:25" x14ac:dyDescent="0.2">
      <c r="D99" s="404"/>
      <c r="E99" s="404"/>
      <c r="F99" s="404"/>
      <c r="G99" s="404"/>
      <c r="H99" s="404"/>
      <c r="I99" s="404"/>
      <c r="J99" s="404"/>
      <c r="K99" s="404"/>
      <c r="O99" s="119" t="s">
        <v>439</v>
      </c>
      <c r="P99" s="16" t="s">
        <v>439</v>
      </c>
      <c r="Q99" s="252" t="s">
        <v>439</v>
      </c>
      <c r="R99" s="10" t="s">
        <v>439</v>
      </c>
      <c r="S99" s="10" t="s">
        <v>439</v>
      </c>
      <c r="T99" s="10" t="s">
        <v>439</v>
      </c>
      <c r="U99" s="10" t="s">
        <v>439</v>
      </c>
      <c r="V99" s="1" t="s">
        <v>439</v>
      </c>
      <c r="W99" s="10" t="s">
        <v>439</v>
      </c>
      <c r="X99" s="119" t="s">
        <v>439</v>
      </c>
      <c r="Y99" s="10" t="s">
        <v>439</v>
      </c>
    </row>
    <row r="100" spans="4:25" x14ac:dyDescent="0.2">
      <c r="D100" s="404"/>
      <c r="E100" s="404"/>
      <c r="F100" s="404"/>
      <c r="G100" s="404"/>
      <c r="H100" s="404"/>
      <c r="I100" s="404"/>
      <c r="J100" s="404"/>
      <c r="K100" s="404"/>
      <c r="O100" s="119" t="s">
        <v>439</v>
      </c>
      <c r="P100" s="16" t="s">
        <v>439</v>
      </c>
      <c r="Q100" s="252" t="s">
        <v>439</v>
      </c>
      <c r="R100" s="10" t="s">
        <v>439</v>
      </c>
      <c r="S100" s="10" t="s">
        <v>439</v>
      </c>
      <c r="T100" s="10" t="s">
        <v>439</v>
      </c>
      <c r="U100" s="10" t="s">
        <v>439</v>
      </c>
      <c r="V100" s="1" t="s">
        <v>439</v>
      </c>
      <c r="W100" s="10" t="s">
        <v>439</v>
      </c>
      <c r="X100" s="119" t="s">
        <v>439</v>
      </c>
      <c r="Y100" s="10" t="s">
        <v>439</v>
      </c>
    </row>
    <row r="101" spans="4:25" x14ac:dyDescent="0.2">
      <c r="D101" s="404"/>
      <c r="E101" s="404"/>
      <c r="F101" s="404"/>
      <c r="G101" s="404"/>
      <c r="H101" s="404"/>
      <c r="I101" s="404"/>
      <c r="J101" s="404"/>
      <c r="K101" s="404"/>
      <c r="O101" s="119" t="s">
        <v>439</v>
      </c>
      <c r="P101" s="16" t="s">
        <v>439</v>
      </c>
      <c r="Q101" s="252" t="s">
        <v>439</v>
      </c>
      <c r="R101" s="10" t="s">
        <v>439</v>
      </c>
      <c r="S101" s="10" t="s">
        <v>439</v>
      </c>
      <c r="T101" s="10" t="s">
        <v>439</v>
      </c>
      <c r="U101" s="10" t="s">
        <v>439</v>
      </c>
      <c r="V101" s="1" t="s">
        <v>439</v>
      </c>
      <c r="W101" s="10" t="s">
        <v>439</v>
      </c>
      <c r="X101" s="119" t="s">
        <v>439</v>
      </c>
      <c r="Y101" s="10" t="s">
        <v>439</v>
      </c>
    </row>
    <row r="102" spans="4:25" x14ac:dyDescent="0.2">
      <c r="D102" s="404"/>
      <c r="E102" s="404"/>
      <c r="F102" s="404"/>
      <c r="G102" s="404"/>
      <c r="H102" s="404"/>
      <c r="I102" s="404"/>
      <c r="J102" s="404"/>
      <c r="K102" s="404"/>
      <c r="O102" s="119" t="s">
        <v>439</v>
      </c>
      <c r="P102" s="16" t="s">
        <v>439</v>
      </c>
      <c r="Q102" s="252" t="s">
        <v>439</v>
      </c>
      <c r="R102" s="10" t="s">
        <v>439</v>
      </c>
      <c r="S102" s="10" t="s">
        <v>439</v>
      </c>
      <c r="T102" s="10" t="s">
        <v>439</v>
      </c>
      <c r="U102" s="10" t="s">
        <v>439</v>
      </c>
      <c r="V102" s="1" t="s">
        <v>439</v>
      </c>
      <c r="W102" s="10" t="s">
        <v>439</v>
      </c>
      <c r="X102" s="119" t="s">
        <v>439</v>
      </c>
      <c r="Y102" s="10" t="s">
        <v>439</v>
      </c>
    </row>
    <row r="103" spans="4:25" x14ac:dyDescent="0.2">
      <c r="D103" s="404"/>
      <c r="E103" s="404"/>
      <c r="F103" s="404"/>
      <c r="G103" s="404"/>
      <c r="H103" s="404"/>
      <c r="I103" s="404"/>
      <c r="J103" s="404"/>
      <c r="K103" s="404"/>
      <c r="O103" s="119" t="s">
        <v>439</v>
      </c>
      <c r="P103" s="16" t="s">
        <v>439</v>
      </c>
      <c r="Q103" s="252" t="s">
        <v>439</v>
      </c>
      <c r="R103" s="10" t="s">
        <v>439</v>
      </c>
      <c r="S103" s="10" t="s">
        <v>439</v>
      </c>
      <c r="T103" s="10" t="s">
        <v>439</v>
      </c>
      <c r="U103" s="10" t="s">
        <v>439</v>
      </c>
      <c r="V103" s="1" t="s">
        <v>439</v>
      </c>
      <c r="W103" s="10" t="s">
        <v>439</v>
      </c>
      <c r="X103" s="119" t="s">
        <v>439</v>
      </c>
      <c r="Y103" s="10" t="s">
        <v>439</v>
      </c>
    </row>
    <row r="104" spans="4:25" x14ac:dyDescent="0.2">
      <c r="D104" s="404"/>
      <c r="E104" s="404"/>
      <c r="F104" s="404"/>
      <c r="G104" s="404"/>
      <c r="H104" s="404"/>
      <c r="I104" s="404"/>
      <c r="J104" s="404"/>
      <c r="K104" s="404"/>
      <c r="O104" s="119" t="s">
        <v>439</v>
      </c>
      <c r="P104" s="16" t="s">
        <v>439</v>
      </c>
      <c r="Q104" s="252" t="s">
        <v>439</v>
      </c>
      <c r="R104" s="10" t="s">
        <v>439</v>
      </c>
      <c r="S104" s="10" t="s">
        <v>439</v>
      </c>
      <c r="T104" s="10" t="s">
        <v>439</v>
      </c>
      <c r="U104" s="10" t="s">
        <v>439</v>
      </c>
      <c r="V104" s="1" t="s">
        <v>439</v>
      </c>
      <c r="W104" s="10" t="s">
        <v>439</v>
      </c>
      <c r="X104" s="119" t="s">
        <v>439</v>
      </c>
      <c r="Y104" s="10" t="s">
        <v>439</v>
      </c>
    </row>
    <row r="105" spans="4:25" x14ac:dyDescent="0.2">
      <c r="D105" s="404"/>
      <c r="E105" s="404"/>
      <c r="F105" s="404"/>
      <c r="G105" s="404"/>
      <c r="H105" s="404"/>
      <c r="I105" s="404"/>
      <c r="J105" s="404"/>
      <c r="K105" s="404"/>
      <c r="O105" s="119" t="s">
        <v>439</v>
      </c>
      <c r="P105" s="16" t="s">
        <v>439</v>
      </c>
      <c r="Q105" s="252" t="s">
        <v>439</v>
      </c>
      <c r="R105" s="10" t="s">
        <v>439</v>
      </c>
      <c r="S105" s="10" t="s">
        <v>439</v>
      </c>
      <c r="T105" s="10" t="s">
        <v>439</v>
      </c>
      <c r="U105" s="10" t="s">
        <v>439</v>
      </c>
      <c r="V105" s="1" t="s">
        <v>439</v>
      </c>
      <c r="W105" s="10" t="s">
        <v>439</v>
      </c>
      <c r="X105" s="119" t="s">
        <v>439</v>
      </c>
      <c r="Y105" s="10" t="s">
        <v>439</v>
      </c>
    </row>
    <row r="106" spans="4:25" x14ac:dyDescent="0.2">
      <c r="D106" s="404"/>
      <c r="E106" s="404"/>
      <c r="F106" s="404"/>
      <c r="G106" s="404"/>
      <c r="H106" s="404"/>
      <c r="I106" s="404"/>
      <c r="J106" s="404"/>
      <c r="K106" s="404"/>
      <c r="O106" s="119" t="s">
        <v>439</v>
      </c>
      <c r="P106" s="16" t="s">
        <v>439</v>
      </c>
      <c r="Q106" s="252" t="s">
        <v>439</v>
      </c>
      <c r="R106" s="10" t="s">
        <v>439</v>
      </c>
      <c r="S106" s="10" t="s">
        <v>439</v>
      </c>
      <c r="T106" s="10" t="s">
        <v>439</v>
      </c>
      <c r="U106" s="10" t="s">
        <v>439</v>
      </c>
      <c r="V106" s="1" t="s">
        <v>439</v>
      </c>
      <c r="W106" s="10" t="s">
        <v>439</v>
      </c>
      <c r="X106" s="119" t="s">
        <v>439</v>
      </c>
      <c r="Y106" s="10" t="s">
        <v>439</v>
      </c>
    </row>
    <row r="107" spans="4:25" x14ac:dyDescent="0.2">
      <c r="D107" s="404"/>
      <c r="E107" s="404"/>
      <c r="F107" s="404"/>
      <c r="G107" s="404"/>
      <c r="H107" s="404"/>
      <c r="I107" s="404"/>
      <c r="J107" s="404"/>
      <c r="K107" s="404"/>
      <c r="O107" s="119" t="s">
        <v>439</v>
      </c>
      <c r="P107" s="16" t="s">
        <v>439</v>
      </c>
      <c r="Q107" s="252" t="s">
        <v>439</v>
      </c>
      <c r="R107" s="10" t="s">
        <v>439</v>
      </c>
      <c r="S107" s="10" t="s">
        <v>439</v>
      </c>
      <c r="T107" s="10" t="s">
        <v>439</v>
      </c>
      <c r="U107" s="10" t="s">
        <v>439</v>
      </c>
      <c r="V107" s="1" t="s">
        <v>439</v>
      </c>
      <c r="W107" s="10" t="s">
        <v>439</v>
      </c>
      <c r="X107" s="119" t="s">
        <v>439</v>
      </c>
      <c r="Y107" s="10" t="s">
        <v>439</v>
      </c>
    </row>
    <row r="108" spans="4:25" x14ac:dyDescent="0.2">
      <c r="D108" s="404"/>
      <c r="E108" s="404"/>
      <c r="F108" s="404"/>
      <c r="G108" s="404"/>
      <c r="H108" s="404"/>
      <c r="I108" s="404"/>
      <c r="J108" s="404"/>
      <c r="K108" s="404"/>
      <c r="O108" s="119" t="s">
        <v>439</v>
      </c>
      <c r="P108" s="16" t="s">
        <v>439</v>
      </c>
      <c r="Q108" s="252" t="s">
        <v>439</v>
      </c>
      <c r="R108" s="10" t="s">
        <v>439</v>
      </c>
      <c r="S108" s="10" t="s">
        <v>439</v>
      </c>
      <c r="T108" s="10" t="s">
        <v>439</v>
      </c>
      <c r="U108" s="10" t="s">
        <v>439</v>
      </c>
      <c r="V108" s="1" t="s">
        <v>439</v>
      </c>
      <c r="W108" s="10" t="s">
        <v>439</v>
      </c>
      <c r="X108" s="119" t="s">
        <v>439</v>
      </c>
      <c r="Y108" s="10" t="s">
        <v>439</v>
      </c>
    </row>
    <row r="109" spans="4:25" x14ac:dyDescent="0.2">
      <c r="D109" s="404"/>
      <c r="E109" s="404"/>
      <c r="F109" s="404"/>
      <c r="G109" s="404"/>
      <c r="H109" s="404"/>
      <c r="I109" s="404"/>
      <c r="J109" s="404"/>
      <c r="K109" s="404"/>
      <c r="O109" s="119" t="s">
        <v>439</v>
      </c>
      <c r="P109" s="16" t="s">
        <v>439</v>
      </c>
      <c r="Q109" s="252" t="s">
        <v>439</v>
      </c>
      <c r="R109" s="10" t="s">
        <v>439</v>
      </c>
      <c r="S109" s="10" t="s">
        <v>439</v>
      </c>
      <c r="T109" s="10" t="s">
        <v>439</v>
      </c>
      <c r="U109" s="10" t="s">
        <v>439</v>
      </c>
      <c r="V109" s="1" t="s">
        <v>439</v>
      </c>
      <c r="W109" s="10" t="s">
        <v>439</v>
      </c>
      <c r="X109" s="119" t="s">
        <v>439</v>
      </c>
      <c r="Y109" s="10" t="s">
        <v>439</v>
      </c>
    </row>
    <row r="110" spans="4:25" x14ac:dyDescent="0.2">
      <c r="D110" s="404"/>
      <c r="E110" s="404"/>
      <c r="F110" s="404"/>
      <c r="G110" s="404"/>
      <c r="H110" s="404"/>
      <c r="I110" s="404"/>
      <c r="J110" s="404"/>
      <c r="K110" s="404"/>
      <c r="O110" s="119" t="s">
        <v>439</v>
      </c>
      <c r="P110" s="16" t="s">
        <v>439</v>
      </c>
      <c r="Q110" s="252" t="s">
        <v>439</v>
      </c>
      <c r="R110" s="10" t="s">
        <v>439</v>
      </c>
      <c r="S110" s="10" t="s">
        <v>439</v>
      </c>
      <c r="T110" s="10" t="s">
        <v>439</v>
      </c>
      <c r="U110" s="10" t="s">
        <v>439</v>
      </c>
      <c r="V110" s="1" t="s">
        <v>439</v>
      </c>
      <c r="W110" s="10" t="s">
        <v>439</v>
      </c>
      <c r="X110" s="119" t="s">
        <v>439</v>
      </c>
      <c r="Y110" s="10" t="s">
        <v>439</v>
      </c>
    </row>
    <row r="111" spans="4:25" x14ac:dyDescent="0.2">
      <c r="D111" s="404"/>
      <c r="E111" s="404"/>
      <c r="F111" s="404"/>
      <c r="G111" s="404"/>
      <c r="H111" s="404"/>
      <c r="I111" s="404"/>
      <c r="J111" s="404"/>
      <c r="K111" s="404"/>
      <c r="O111" s="119" t="s">
        <v>439</v>
      </c>
      <c r="P111" s="16" t="s">
        <v>439</v>
      </c>
      <c r="Q111" s="252" t="s">
        <v>439</v>
      </c>
      <c r="R111" s="10" t="s">
        <v>439</v>
      </c>
      <c r="S111" s="10" t="s">
        <v>439</v>
      </c>
      <c r="T111" s="10" t="s">
        <v>439</v>
      </c>
      <c r="U111" s="10" t="s">
        <v>439</v>
      </c>
      <c r="V111" s="1" t="s">
        <v>439</v>
      </c>
      <c r="W111" s="10" t="s">
        <v>439</v>
      </c>
      <c r="X111" s="119" t="s">
        <v>439</v>
      </c>
      <c r="Y111" s="10" t="s">
        <v>439</v>
      </c>
    </row>
    <row r="112" spans="4:25" x14ac:dyDescent="0.2">
      <c r="D112" s="404"/>
      <c r="E112" s="404"/>
      <c r="F112" s="404"/>
      <c r="G112" s="404"/>
      <c r="H112" s="404"/>
      <c r="I112" s="404"/>
      <c r="J112" s="404"/>
      <c r="K112" s="404"/>
      <c r="O112" s="119" t="s">
        <v>439</v>
      </c>
      <c r="P112" s="16" t="s">
        <v>439</v>
      </c>
      <c r="Q112" s="252" t="s">
        <v>439</v>
      </c>
      <c r="R112" s="10" t="s">
        <v>439</v>
      </c>
      <c r="S112" s="10" t="s">
        <v>439</v>
      </c>
      <c r="T112" s="10" t="s">
        <v>439</v>
      </c>
      <c r="U112" s="10" t="s">
        <v>439</v>
      </c>
      <c r="V112" s="1" t="s">
        <v>439</v>
      </c>
      <c r="W112" s="10" t="s">
        <v>439</v>
      </c>
      <c r="X112" s="119" t="s">
        <v>439</v>
      </c>
      <c r="Y112" s="10" t="s">
        <v>439</v>
      </c>
    </row>
    <row r="113" spans="4:25" x14ac:dyDescent="0.2">
      <c r="D113" s="404"/>
      <c r="E113" s="404"/>
      <c r="F113" s="404"/>
      <c r="G113" s="404"/>
      <c r="H113" s="404"/>
      <c r="I113" s="404"/>
      <c r="J113" s="404"/>
      <c r="K113" s="404"/>
      <c r="O113" s="119" t="s">
        <v>439</v>
      </c>
      <c r="P113" s="16" t="s">
        <v>439</v>
      </c>
      <c r="Q113" s="252" t="s">
        <v>439</v>
      </c>
      <c r="R113" s="10" t="s">
        <v>439</v>
      </c>
      <c r="S113" s="10" t="s">
        <v>439</v>
      </c>
      <c r="T113" s="10" t="s">
        <v>439</v>
      </c>
      <c r="U113" s="10" t="s">
        <v>439</v>
      </c>
      <c r="V113" s="1" t="s">
        <v>439</v>
      </c>
      <c r="W113" s="10" t="s">
        <v>439</v>
      </c>
      <c r="X113" s="119" t="s">
        <v>439</v>
      </c>
      <c r="Y113" s="10" t="s">
        <v>439</v>
      </c>
    </row>
    <row r="114" spans="4:25" x14ac:dyDescent="0.2">
      <c r="D114" s="404"/>
      <c r="E114" s="404"/>
      <c r="F114" s="404"/>
      <c r="G114" s="404"/>
      <c r="H114" s="404"/>
      <c r="I114" s="404"/>
      <c r="J114" s="404"/>
      <c r="K114" s="404"/>
      <c r="O114" s="119" t="s">
        <v>439</v>
      </c>
      <c r="P114" s="16" t="s">
        <v>439</v>
      </c>
      <c r="Q114" s="252" t="s">
        <v>439</v>
      </c>
      <c r="R114" s="10" t="s">
        <v>439</v>
      </c>
      <c r="S114" s="10" t="s">
        <v>439</v>
      </c>
      <c r="T114" s="10" t="s">
        <v>439</v>
      </c>
      <c r="U114" s="10" t="s">
        <v>439</v>
      </c>
      <c r="V114" s="1" t="s">
        <v>439</v>
      </c>
      <c r="W114" s="10" t="s">
        <v>439</v>
      </c>
      <c r="X114" s="119" t="s">
        <v>439</v>
      </c>
      <c r="Y114" s="10" t="s">
        <v>439</v>
      </c>
    </row>
    <row r="115" spans="4:25" x14ac:dyDescent="0.2">
      <c r="D115" s="404"/>
      <c r="E115" s="404"/>
      <c r="F115" s="404"/>
      <c r="G115" s="404"/>
      <c r="H115" s="404"/>
      <c r="I115" s="404"/>
      <c r="J115" s="404"/>
      <c r="K115" s="404"/>
      <c r="O115" s="119" t="s">
        <v>439</v>
      </c>
      <c r="P115" s="16" t="s">
        <v>439</v>
      </c>
      <c r="Q115" s="252" t="s">
        <v>439</v>
      </c>
      <c r="R115" s="10" t="s">
        <v>439</v>
      </c>
      <c r="S115" s="10" t="s">
        <v>439</v>
      </c>
      <c r="T115" s="10" t="s">
        <v>439</v>
      </c>
      <c r="U115" s="10" t="s">
        <v>439</v>
      </c>
      <c r="V115" s="1" t="s">
        <v>439</v>
      </c>
      <c r="W115" s="10" t="s">
        <v>439</v>
      </c>
      <c r="X115" s="119" t="s">
        <v>439</v>
      </c>
      <c r="Y115" s="10" t="s">
        <v>439</v>
      </c>
    </row>
    <row r="116" spans="4:25" x14ac:dyDescent="0.2">
      <c r="D116" s="404"/>
      <c r="E116" s="404"/>
      <c r="F116" s="404"/>
      <c r="G116" s="404"/>
      <c r="H116" s="404"/>
      <c r="I116" s="404"/>
      <c r="J116" s="404"/>
      <c r="K116" s="404"/>
      <c r="O116" s="119" t="s">
        <v>439</v>
      </c>
      <c r="P116" s="16" t="s">
        <v>439</v>
      </c>
      <c r="Q116" s="252" t="s">
        <v>439</v>
      </c>
      <c r="R116" s="10" t="s">
        <v>439</v>
      </c>
      <c r="S116" s="10" t="s">
        <v>439</v>
      </c>
      <c r="T116" s="10" t="s">
        <v>439</v>
      </c>
      <c r="U116" s="10" t="s">
        <v>439</v>
      </c>
      <c r="V116" s="1" t="s">
        <v>439</v>
      </c>
      <c r="W116" s="10" t="s">
        <v>439</v>
      </c>
      <c r="X116" s="119" t="s">
        <v>439</v>
      </c>
      <c r="Y116" s="10" t="s">
        <v>439</v>
      </c>
    </row>
    <row r="117" spans="4:25" x14ac:dyDescent="0.2">
      <c r="D117" s="404"/>
      <c r="E117" s="404"/>
      <c r="F117" s="404"/>
      <c r="G117" s="404"/>
      <c r="H117" s="404"/>
      <c r="I117" s="404"/>
      <c r="J117" s="404"/>
      <c r="K117" s="404"/>
      <c r="O117" s="119" t="s">
        <v>439</v>
      </c>
      <c r="P117" s="16" t="s">
        <v>439</v>
      </c>
      <c r="Q117" s="252" t="s">
        <v>439</v>
      </c>
      <c r="R117" s="10" t="s">
        <v>439</v>
      </c>
      <c r="S117" s="10" t="s">
        <v>439</v>
      </c>
      <c r="T117" s="10" t="s">
        <v>439</v>
      </c>
      <c r="U117" s="10" t="s">
        <v>439</v>
      </c>
      <c r="V117" s="1" t="s">
        <v>439</v>
      </c>
      <c r="W117" s="10" t="s">
        <v>439</v>
      </c>
      <c r="X117" s="119" t="s">
        <v>439</v>
      </c>
      <c r="Y117" s="10" t="s">
        <v>439</v>
      </c>
    </row>
    <row r="118" spans="4:25" x14ac:dyDescent="0.2">
      <c r="D118" s="404"/>
      <c r="E118" s="404"/>
      <c r="F118" s="404"/>
      <c r="G118" s="404"/>
      <c r="H118" s="404"/>
      <c r="I118" s="404"/>
      <c r="J118" s="404"/>
      <c r="K118" s="404"/>
      <c r="O118" s="119" t="s">
        <v>439</v>
      </c>
      <c r="P118" s="16" t="s">
        <v>439</v>
      </c>
      <c r="Q118" s="252" t="s">
        <v>439</v>
      </c>
      <c r="R118" s="10" t="s">
        <v>439</v>
      </c>
      <c r="S118" s="10" t="s">
        <v>439</v>
      </c>
      <c r="T118" s="10" t="s">
        <v>439</v>
      </c>
      <c r="U118" s="10" t="s">
        <v>439</v>
      </c>
      <c r="V118" s="1" t="s">
        <v>439</v>
      </c>
      <c r="W118" s="10" t="s">
        <v>439</v>
      </c>
      <c r="X118" s="119" t="s">
        <v>439</v>
      </c>
      <c r="Y118" s="10" t="s">
        <v>439</v>
      </c>
    </row>
    <row r="119" spans="4:25" x14ac:dyDescent="0.2">
      <c r="D119" s="404"/>
      <c r="E119" s="404"/>
      <c r="F119" s="404"/>
      <c r="G119" s="404"/>
      <c r="H119" s="404"/>
      <c r="I119" s="404"/>
      <c r="J119" s="404"/>
      <c r="K119" s="404"/>
      <c r="O119" s="119" t="s">
        <v>439</v>
      </c>
      <c r="P119" s="16" t="s">
        <v>439</v>
      </c>
      <c r="Q119" s="252" t="s">
        <v>439</v>
      </c>
      <c r="R119" s="10" t="s">
        <v>439</v>
      </c>
      <c r="S119" s="10" t="s">
        <v>439</v>
      </c>
      <c r="T119" s="10" t="s">
        <v>439</v>
      </c>
      <c r="U119" s="10" t="s">
        <v>439</v>
      </c>
      <c r="V119" s="1" t="s">
        <v>439</v>
      </c>
      <c r="W119" s="10" t="s">
        <v>439</v>
      </c>
      <c r="X119" s="119" t="s">
        <v>439</v>
      </c>
      <c r="Y119" s="10" t="s">
        <v>439</v>
      </c>
    </row>
    <row r="120" spans="4:25" x14ac:dyDescent="0.2">
      <c r="D120" s="404"/>
      <c r="E120" s="404"/>
      <c r="F120" s="404"/>
      <c r="G120" s="404"/>
      <c r="H120" s="404"/>
      <c r="I120" s="404"/>
      <c r="J120" s="404"/>
      <c r="K120" s="404"/>
      <c r="O120" s="119" t="s">
        <v>439</v>
      </c>
      <c r="P120" s="16" t="s">
        <v>439</v>
      </c>
      <c r="Q120" s="252" t="s">
        <v>439</v>
      </c>
      <c r="R120" s="10" t="s">
        <v>439</v>
      </c>
      <c r="S120" s="10" t="s">
        <v>439</v>
      </c>
      <c r="T120" s="10" t="s">
        <v>439</v>
      </c>
      <c r="U120" s="10" t="s">
        <v>439</v>
      </c>
      <c r="V120" s="1" t="s">
        <v>439</v>
      </c>
      <c r="W120" s="10" t="s">
        <v>439</v>
      </c>
      <c r="X120" s="119" t="s">
        <v>439</v>
      </c>
      <c r="Y120" s="10" t="s">
        <v>439</v>
      </c>
    </row>
    <row r="121" spans="4:25" x14ac:dyDescent="0.2">
      <c r="D121" s="404"/>
      <c r="E121" s="404"/>
      <c r="F121" s="404"/>
      <c r="G121" s="404"/>
      <c r="H121" s="404"/>
      <c r="I121" s="404"/>
      <c r="J121" s="404"/>
      <c r="K121" s="404"/>
      <c r="O121" s="119" t="s">
        <v>439</v>
      </c>
      <c r="P121" s="16" t="s">
        <v>439</v>
      </c>
      <c r="Q121" s="252" t="s">
        <v>439</v>
      </c>
      <c r="R121" s="10" t="s">
        <v>439</v>
      </c>
      <c r="S121" s="10" t="s">
        <v>439</v>
      </c>
      <c r="T121" s="10" t="s">
        <v>439</v>
      </c>
      <c r="U121" s="10" t="s">
        <v>439</v>
      </c>
      <c r="V121" s="1" t="s">
        <v>439</v>
      </c>
      <c r="W121" s="10" t="s">
        <v>439</v>
      </c>
      <c r="X121" s="119" t="s">
        <v>439</v>
      </c>
      <c r="Y121" s="10" t="s">
        <v>439</v>
      </c>
    </row>
    <row r="122" spans="4:25" x14ac:dyDescent="0.2">
      <c r="D122" s="404"/>
      <c r="E122" s="404"/>
      <c r="F122" s="404"/>
      <c r="G122" s="404"/>
      <c r="H122" s="404"/>
      <c r="I122" s="404"/>
      <c r="J122" s="404"/>
      <c r="K122" s="404"/>
      <c r="O122" s="119" t="s">
        <v>439</v>
      </c>
      <c r="P122" s="16" t="s">
        <v>439</v>
      </c>
      <c r="Q122" s="252" t="s">
        <v>439</v>
      </c>
      <c r="R122" s="10" t="s">
        <v>439</v>
      </c>
      <c r="S122" s="10" t="s">
        <v>439</v>
      </c>
      <c r="T122" s="10" t="s">
        <v>439</v>
      </c>
      <c r="U122" s="10" t="s">
        <v>439</v>
      </c>
      <c r="V122" s="1" t="s">
        <v>439</v>
      </c>
      <c r="W122" s="10" t="s">
        <v>439</v>
      </c>
      <c r="X122" s="119" t="s">
        <v>439</v>
      </c>
      <c r="Y122" s="10" t="s">
        <v>439</v>
      </c>
    </row>
    <row r="123" spans="4:25" x14ac:dyDescent="0.2">
      <c r="D123" s="404"/>
      <c r="E123" s="404"/>
      <c r="F123" s="404"/>
      <c r="G123" s="404"/>
      <c r="H123" s="404"/>
      <c r="I123" s="404"/>
      <c r="J123" s="404"/>
      <c r="K123" s="404"/>
      <c r="O123" s="119" t="s">
        <v>439</v>
      </c>
      <c r="P123" s="16" t="s">
        <v>439</v>
      </c>
      <c r="Q123" s="252" t="s">
        <v>439</v>
      </c>
      <c r="R123" s="10" t="s">
        <v>439</v>
      </c>
      <c r="S123" s="10" t="s">
        <v>439</v>
      </c>
      <c r="T123" s="10" t="s">
        <v>439</v>
      </c>
      <c r="U123" s="10" t="s">
        <v>439</v>
      </c>
      <c r="V123" s="1" t="s">
        <v>439</v>
      </c>
      <c r="W123" s="10" t="s">
        <v>439</v>
      </c>
      <c r="X123" s="119" t="s">
        <v>439</v>
      </c>
      <c r="Y123" s="10" t="s">
        <v>439</v>
      </c>
    </row>
    <row r="124" spans="4:25" x14ac:dyDescent="0.2">
      <c r="D124" s="404"/>
      <c r="E124" s="404"/>
      <c r="F124" s="404"/>
      <c r="G124" s="404"/>
      <c r="H124" s="404"/>
      <c r="I124" s="404"/>
      <c r="J124" s="404"/>
      <c r="K124" s="404"/>
      <c r="O124" s="119" t="s">
        <v>439</v>
      </c>
      <c r="P124" s="16" t="s">
        <v>439</v>
      </c>
      <c r="Q124" s="252" t="s">
        <v>439</v>
      </c>
      <c r="R124" s="10" t="s">
        <v>439</v>
      </c>
      <c r="S124" s="10" t="s">
        <v>439</v>
      </c>
      <c r="T124" s="10" t="s">
        <v>439</v>
      </c>
      <c r="U124" s="10" t="s">
        <v>439</v>
      </c>
      <c r="V124" s="1" t="s">
        <v>439</v>
      </c>
      <c r="W124" s="10" t="s">
        <v>439</v>
      </c>
      <c r="X124" s="119" t="s">
        <v>439</v>
      </c>
      <c r="Y124" s="10" t="s">
        <v>439</v>
      </c>
    </row>
    <row r="125" spans="4:25" x14ac:dyDescent="0.2">
      <c r="D125" s="404"/>
      <c r="E125" s="404"/>
      <c r="F125" s="404"/>
      <c r="G125" s="404"/>
      <c r="H125" s="404"/>
      <c r="I125" s="404"/>
      <c r="J125" s="404"/>
      <c r="K125" s="404"/>
      <c r="O125" s="119" t="s">
        <v>439</v>
      </c>
      <c r="P125" s="16" t="s">
        <v>439</v>
      </c>
      <c r="Q125" s="252" t="s">
        <v>439</v>
      </c>
      <c r="R125" s="10" t="s">
        <v>439</v>
      </c>
      <c r="S125" s="10" t="s">
        <v>439</v>
      </c>
      <c r="T125" s="10" t="s">
        <v>439</v>
      </c>
      <c r="U125" s="10" t="s">
        <v>439</v>
      </c>
      <c r="V125" s="1" t="s">
        <v>439</v>
      </c>
      <c r="W125" s="10" t="s">
        <v>439</v>
      </c>
      <c r="X125" s="119" t="s">
        <v>439</v>
      </c>
      <c r="Y125" s="10" t="s">
        <v>439</v>
      </c>
    </row>
    <row r="126" spans="4:25" x14ac:dyDescent="0.2">
      <c r="D126" s="404"/>
      <c r="E126" s="404"/>
      <c r="F126" s="404"/>
      <c r="G126" s="404"/>
      <c r="H126" s="404"/>
      <c r="I126" s="404"/>
      <c r="J126" s="404"/>
      <c r="K126" s="404"/>
      <c r="O126" s="119" t="s">
        <v>439</v>
      </c>
      <c r="P126" s="16" t="s">
        <v>439</v>
      </c>
      <c r="Q126" s="252" t="s">
        <v>439</v>
      </c>
      <c r="R126" s="10" t="s">
        <v>439</v>
      </c>
      <c r="S126" s="10" t="s">
        <v>439</v>
      </c>
      <c r="T126" s="10" t="s">
        <v>439</v>
      </c>
      <c r="U126" s="10" t="s">
        <v>439</v>
      </c>
      <c r="V126" s="1" t="s">
        <v>439</v>
      </c>
      <c r="W126" s="10" t="s">
        <v>439</v>
      </c>
      <c r="X126" s="119" t="s">
        <v>439</v>
      </c>
      <c r="Y126" s="10" t="s">
        <v>439</v>
      </c>
    </row>
    <row r="127" spans="4:25" x14ac:dyDescent="0.2">
      <c r="D127" s="404"/>
      <c r="E127" s="404"/>
      <c r="F127" s="404"/>
      <c r="G127" s="404"/>
      <c r="H127" s="404"/>
      <c r="I127" s="404"/>
      <c r="J127" s="404"/>
      <c r="K127" s="404"/>
      <c r="O127" s="119" t="s">
        <v>439</v>
      </c>
      <c r="P127" s="16" t="s">
        <v>439</v>
      </c>
      <c r="Q127" s="252" t="s">
        <v>439</v>
      </c>
      <c r="R127" s="10" t="s">
        <v>439</v>
      </c>
      <c r="S127" s="10" t="s">
        <v>439</v>
      </c>
      <c r="T127" s="10" t="s">
        <v>439</v>
      </c>
      <c r="U127" s="10" t="s">
        <v>439</v>
      </c>
      <c r="V127" s="1" t="s">
        <v>439</v>
      </c>
      <c r="W127" s="10" t="s">
        <v>439</v>
      </c>
      <c r="X127" s="119" t="s">
        <v>439</v>
      </c>
      <c r="Y127" s="10" t="s">
        <v>439</v>
      </c>
    </row>
    <row r="128" spans="4:25" x14ac:dyDescent="0.2">
      <c r="D128" s="404"/>
      <c r="E128" s="404"/>
      <c r="F128" s="404"/>
      <c r="G128" s="404"/>
      <c r="H128" s="404"/>
      <c r="I128" s="404"/>
      <c r="J128" s="404"/>
      <c r="K128" s="404"/>
      <c r="O128" s="119" t="s">
        <v>439</v>
      </c>
      <c r="P128" s="16" t="s">
        <v>439</v>
      </c>
      <c r="Q128" s="252" t="s">
        <v>439</v>
      </c>
      <c r="R128" s="10" t="s">
        <v>439</v>
      </c>
      <c r="S128" s="10" t="s">
        <v>439</v>
      </c>
      <c r="T128" s="10" t="s">
        <v>439</v>
      </c>
      <c r="U128" s="10" t="s">
        <v>439</v>
      </c>
      <c r="V128" s="1" t="s">
        <v>439</v>
      </c>
      <c r="W128" s="10" t="s">
        <v>439</v>
      </c>
      <c r="X128" s="119" t="s">
        <v>439</v>
      </c>
      <c r="Y128" s="10" t="s">
        <v>439</v>
      </c>
    </row>
    <row r="129" spans="4:25" x14ac:dyDescent="0.2">
      <c r="D129" s="404"/>
      <c r="E129" s="404"/>
      <c r="F129" s="404"/>
      <c r="G129" s="404"/>
      <c r="H129" s="404"/>
      <c r="I129" s="404"/>
      <c r="J129" s="404"/>
      <c r="K129" s="404"/>
      <c r="O129" s="119" t="s">
        <v>439</v>
      </c>
      <c r="P129" s="16" t="s">
        <v>439</v>
      </c>
      <c r="Q129" s="252" t="s">
        <v>439</v>
      </c>
      <c r="R129" s="10" t="s">
        <v>439</v>
      </c>
      <c r="S129" s="10" t="s">
        <v>439</v>
      </c>
      <c r="T129" s="10" t="s">
        <v>439</v>
      </c>
      <c r="U129" s="10" t="s">
        <v>439</v>
      </c>
      <c r="V129" s="1" t="s">
        <v>439</v>
      </c>
      <c r="W129" s="10" t="s">
        <v>439</v>
      </c>
      <c r="X129" s="119" t="s">
        <v>439</v>
      </c>
      <c r="Y129" s="10" t="s">
        <v>439</v>
      </c>
    </row>
    <row r="130" spans="4:25" x14ac:dyDescent="0.2">
      <c r="D130" s="404"/>
      <c r="E130" s="404"/>
      <c r="F130" s="404"/>
      <c r="G130" s="404"/>
      <c r="H130" s="404"/>
      <c r="I130" s="404"/>
      <c r="J130" s="404"/>
      <c r="K130" s="404"/>
      <c r="O130" s="119" t="s">
        <v>439</v>
      </c>
      <c r="P130" s="16" t="s">
        <v>439</v>
      </c>
      <c r="Q130" s="252" t="s">
        <v>439</v>
      </c>
      <c r="R130" s="10" t="s">
        <v>439</v>
      </c>
      <c r="S130" s="10" t="s">
        <v>439</v>
      </c>
      <c r="T130" s="10" t="s">
        <v>439</v>
      </c>
      <c r="U130" s="10" t="s">
        <v>439</v>
      </c>
      <c r="V130" s="1" t="s">
        <v>439</v>
      </c>
      <c r="W130" s="10" t="s">
        <v>439</v>
      </c>
      <c r="X130" s="119" t="s">
        <v>439</v>
      </c>
      <c r="Y130" s="10" t="s">
        <v>439</v>
      </c>
    </row>
    <row r="131" spans="4:25" x14ac:dyDescent="0.2">
      <c r="D131" s="404"/>
      <c r="E131" s="404"/>
      <c r="F131" s="404"/>
      <c r="G131" s="404"/>
      <c r="H131" s="404"/>
      <c r="I131" s="404"/>
      <c r="J131" s="404"/>
      <c r="K131" s="404"/>
      <c r="O131" s="119" t="s">
        <v>439</v>
      </c>
      <c r="P131" s="16" t="s">
        <v>439</v>
      </c>
      <c r="Q131" s="252" t="s">
        <v>439</v>
      </c>
      <c r="R131" s="10" t="s">
        <v>439</v>
      </c>
      <c r="S131" s="10" t="s">
        <v>439</v>
      </c>
      <c r="T131" s="10" t="s">
        <v>439</v>
      </c>
      <c r="U131" s="10" t="s">
        <v>439</v>
      </c>
      <c r="V131" s="1" t="s">
        <v>439</v>
      </c>
      <c r="W131" s="10" t="s">
        <v>439</v>
      </c>
      <c r="X131" s="119" t="s">
        <v>439</v>
      </c>
      <c r="Y131" s="10" t="s">
        <v>439</v>
      </c>
    </row>
    <row r="132" spans="4:25" x14ac:dyDescent="0.2">
      <c r="D132" s="404"/>
      <c r="E132" s="404"/>
      <c r="F132" s="404"/>
      <c r="G132" s="404"/>
      <c r="H132" s="404"/>
      <c r="I132" s="404"/>
      <c r="J132" s="404"/>
      <c r="K132" s="404"/>
      <c r="O132" s="119" t="s">
        <v>439</v>
      </c>
      <c r="P132" s="16" t="s">
        <v>439</v>
      </c>
      <c r="Q132" s="252" t="s">
        <v>439</v>
      </c>
      <c r="R132" s="10" t="s">
        <v>439</v>
      </c>
      <c r="S132" s="10" t="s">
        <v>439</v>
      </c>
      <c r="T132" s="10" t="s">
        <v>439</v>
      </c>
      <c r="U132" s="10" t="s">
        <v>439</v>
      </c>
      <c r="V132" s="1" t="s">
        <v>439</v>
      </c>
      <c r="W132" s="10" t="s">
        <v>439</v>
      </c>
      <c r="X132" s="119" t="s">
        <v>439</v>
      </c>
      <c r="Y132" s="10" t="s">
        <v>439</v>
      </c>
    </row>
    <row r="133" spans="4:25" x14ac:dyDescent="0.2">
      <c r="D133" s="404"/>
      <c r="E133" s="404"/>
      <c r="F133" s="404"/>
      <c r="G133" s="404"/>
      <c r="H133" s="404"/>
      <c r="I133" s="404"/>
      <c r="J133" s="404"/>
      <c r="K133" s="404"/>
      <c r="O133" s="119" t="s">
        <v>439</v>
      </c>
      <c r="P133" s="16" t="s">
        <v>439</v>
      </c>
      <c r="Q133" s="252" t="s">
        <v>439</v>
      </c>
      <c r="R133" s="10" t="s">
        <v>439</v>
      </c>
      <c r="S133" s="10" t="s">
        <v>439</v>
      </c>
      <c r="T133" s="10" t="s">
        <v>439</v>
      </c>
      <c r="U133" s="10" t="s">
        <v>439</v>
      </c>
      <c r="V133" s="1" t="s">
        <v>439</v>
      </c>
      <c r="W133" s="10" t="s">
        <v>439</v>
      </c>
      <c r="X133" s="119" t="s">
        <v>439</v>
      </c>
      <c r="Y133" s="10" t="s">
        <v>439</v>
      </c>
    </row>
    <row r="134" spans="4:25" x14ac:dyDescent="0.2">
      <c r="D134" s="404"/>
      <c r="E134" s="404"/>
      <c r="F134" s="404"/>
      <c r="G134" s="404"/>
      <c r="H134" s="404"/>
      <c r="I134" s="404"/>
      <c r="J134" s="404"/>
      <c r="K134" s="404"/>
      <c r="O134" s="119" t="s">
        <v>439</v>
      </c>
      <c r="P134" s="16" t="s">
        <v>439</v>
      </c>
      <c r="Q134" s="252" t="s">
        <v>439</v>
      </c>
      <c r="R134" s="10" t="s">
        <v>439</v>
      </c>
      <c r="S134" s="10" t="s">
        <v>439</v>
      </c>
      <c r="T134" s="10" t="s">
        <v>439</v>
      </c>
      <c r="U134" s="10" t="s">
        <v>439</v>
      </c>
      <c r="V134" s="1" t="s">
        <v>439</v>
      </c>
      <c r="W134" s="10" t="s">
        <v>439</v>
      </c>
      <c r="X134" s="119" t="s">
        <v>439</v>
      </c>
      <c r="Y134" s="10" t="s">
        <v>439</v>
      </c>
    </row>
    <row r="135" spans="4:25" x14ac:dyDescent="0.2">
      <c r="D135" s="404"/>
      <c r="E135" s="404"/>
      <c r="F135" s="404"/>
      <c r="G135" s="404"/>
      <c r="H135" s="404"/>
      <c r="I135" s="404"/>
      <c r="J135" s="404"/>
      <c r="K135" s="404"/>
      <c r="O135" s="119" t="s">
        <v>439</v>
      </c>
      <c r="P135" s="16" t="s">
        <v>439</v>
      </c>
      <c r="Q135" s="252" t="s">
        <v>439</v>
      </c>
      <c r="R135" s="10" t="s">
        <v>439</v>
      </c>
      <c r="S135" s="10" t="s">
        <v>439</v>
      </c>
      <c r="T135" s="10" t="s">
        <v>439</v>
      </c>
      <c r="U135" s="10" t="s">
        <v>439</v>
      </c>
      <c r="V135" s="1" t="s">
        <v>439</v>
      </c>
      <c r="W135" s="10" t="s">
        <v>439</v>
      </c>
      <c r="X135" s="119" t="s">
        <v>439</v>
      </c>
      <c r="Y135" s="10" t="s">
        <v>439</v>
      </c>
    </row>
    <row r="136" spans="4:25" x14ac:dyDescent="0.2">
      <c r="D136" s="404"/>
      <c r="E136" s="404"/>
      <c r="F136" s="404"/>
      <c r="G136" s="404"/>
      <c r="H136" s="404"/>
      <c r="I136" s="404"/>
      <c r="J136" s="404"/>
      <c r="K136" s="404"/>
      <c r="O136" s="119" t="s">
        <v>439</v>
      </c>
      <c r="P136" s="16" t="s">
        <v>439</v>
      </c>
      <c r="Q136" s="252" t="s">
        <v>439</v>
      </c>
      <c r="R136" s="10" t="s">
        <v>439</v>
      </c>
      <c r="S136" s="10" t="s">
        <v>439</v>
      </c>
      <c r="T136" s="10" t="s">
        <v>439</v>
      </c>
      <c r="U136" s="10" t="s">
        <v>439</v>
      </c>
      <c r="V136" s="1" t="s">
        <v>439</v>
      </c>
      <c r="W136" s="10" t="s">
        <v>439</v>
      </c>
      <c r="X136" s="119" t="s">
        <v>439</v>
      </c>
      <c r="Y136" s="10" t="s">
        <v>439</v>
      </c>
    </row>
    <row r="137" spans="4:25" x14ac:dyDescent="0.2">
      <c r="D137" s="404"/>
      <c r="E137" s="404"/>
      <c r="F137" s="404"/>
      <c r="G137" s="404"/>
      <c r="H137" s="404"/>
      <c r="I137" s="404"/>
      <c r="J137" s="404"/>
      <c r="K137" s="404"/>
      <c r="O137" s="119" t="s">
        <v>439</v>
      </c>
      <c r="P137" s="16" t="s">
        <v>439</v>
      </c>
      <c r="Q137" s="252" t="s">
        <v>439</v>
      </c>
      <c r="R137" s="10" t="s">
        <v>439</v>
      </c>
      <c r="S137" s="10" t="s">
        <v>439</v>
      </c>
      <c r="T137" s="10" t="s">
        <v>439</v>
      </c>
      <c r="U137" s="10" t="s">
        <v>439</v>
      </c>
      <c r="V137" s="1" t="s">
        <v>439</v>
      </c>
      <c r="W137" s="10" t="s">
        <v>439</v>
      </c>
      <c r="X137" s="119" t="s">
        <v>439</v>
      </c>
      <c r="Y137" s="10" t="s">
        <v>439</v>
      </c>
    </row>
    <row r="138" spans="4:25" x14ac:dyDescent="0.2">
      <c r="D138" s="404"/>
      <c r="E138" s="404"/>
      <c r="F138" s="404"/>
      <c r="G138" s="404"/>
      <c r="H138" s="404"/>
      <c r="I138" s="404"/>
      <c r="J138" s="404"/>
      <c r="K138" s="404"/>
      <c r="O138" s="119" t="s">
        <v>439</v>
      </c>
      <c r="P138" s="16" t="s">
        <v>439</v>
      </c>
      <c r="Q138" s="252" t="s">
        <v>439</v>
      </c>
      <c r="R138" s="10" t="s">
        <v>439</v>
      </c>
      <c r="S138" s="10" t="s">
        <v>439</v>
      </c>
      <c r="T138" s="10" t="s">
        <v>439</v>
      </c>
      <c r="U138" s="10" t="s">
        <v>439</v>
      </c>
      <c r="V138" s="1" t="s">
        <v>439</v>
      </c>
      <c r="W138" s="10" t="s">
        <v>439</v>
      </c>
      <c r="X138" s="119" t="s">
        <v>439</v>
      </c>
      <c r="Y138" s="10" t="s">
        <v>439</v>
      </c>
    </row>
    <row r="139" spans="4:25" x14ac:dyDescent="0.2">
      <c r="D139" s="404"/>
      <c r="E139" s="404"/>
      <c r="F139" s="404"/>
      <c r="G139" s="404"/>
      <c r="H139" s="404"/>
      <c r="I139" s="404"/>
      <c r="J139" s="404"/>
      <c r="K139" s="404"/>
      <c r="O139" s="119" t="s">
        <v>439</v>
      </c>
      <c r="P139" s="16" t="s">
        <v>439</v>
      </c>
      <c r="Q139" s="252" t="s">
        <v>439</v>
      </c>
      <c r="R139" s="10" t="s">
        <v>439</v>
      </c>
      <c r="S139" s="10" t="s">
        <v>439</v>
      </c>
      <c r="T139" s="10" t="s">
        <v>439</v>
      </c>
      <c r="U139" s="10" t="s">
        <v>439</v>
      </c>
      <c r="V139" s="1" t="s">
        <v>439</v>
      </c>
      <c r="W139" s="10" t="s">
        <v>439</v>
      </c>
      <c r="X139" s="119" t="s">
        <v>439</v>
      </c>
      <c r="Y139" s="10" t="s">
        <v>439</v>
      </c>
    </row>
    <row r="140" spans="4:25" x14ac:dyDescent="0.2">
      <c r="D140" s="404"/>
      <c r="E140" s="404"/>
      <c r="F140" s="404"/>
      <c r="G140" s="404"/>
      <c r="H140" s="404"/>
      <c r="I140" s="404"/>
      <c r="J140" s="404"/>
      <c r="K140" s="404"/>
      <c r="O140" s="119" t="s">
        <v>439</v>
      </c>
      <c r="P140" s="16" t="s">
        <v>439</v>
      </c>
      <c r="Q140" s="252" t="s">
        <v>439</v>
      </c>
      <c r="R140" s="10" t="s">
        <v>439</v>
      </c>
      <c r="S140" s="10" t="s">
        <v>439</v>
      </c>
      <c r="T140" s="10" t="s">
        <v>439</v>
      </c>
      <c r="U140" s="10" t="s">
        <v>439</v>
      </c>
      <c r="V140" s="1" t="s">
        <v>439</v>
      </c>
      <c r="W140" s="10" t="s">
        <v>439</v>
      </c>
      <c r="X140" s="119" t="s">
        <v>439</v>
      </c>
      <c r="Y140" s="10" t="s">
        <v>439</v>
      </c>
    </row>
    <row r="141" spans="4:25" x14ac:dyDescent="0.2">
      <c r="D141" s="404"/>
      <c r="E141" s="404"/>
      <c r="F141" s="404"/>
      <c r="G141" s="404"/>
      <c r="H141" s="404"/>
      <c r="I141" s="404"/>
      <c r="J141" s="404"/>
      <c r="K141" s="404"/>
      <c r="O141" s="119" t="s">
        <v>439</v>
      </c>
      <c r="P141" s="16" t="s">
        <v>439</v>
      </c>
      <c r="Q141" s="252" t="s">
        <v>439</v>
      </c>
      <c r="R141" s="10" t="s">
        <v>439</v>
      </c>
      <c r="S141" s="10" t="s">
        <v>439</v>
      </c>
      <c r="T141" s="10" t="s">
        <v>439</v>
      </c>
      <c r="U141" s="10" t="s">
        <v>439</v>
      </c>
      <c r="V141" s="1" t="s">
        <v>439</v>
      </c>
      <c r="W141" s="10" t="s">
        <v>439</v>
      </c>
      <c r="X141" s="119" t="s">
        <v>439</v>
      </c>
      <c r="Y141" s="10" t="s">
        <v>439</v>
      </c>
    </row>
    <row r="142" spans="4:25" x14ac:dyDescent="0.2">
      <c r="D142" s="404"/>
      <c r="E142" s="404"/>
      <c r="F142" s="404"/>
      <c r="G142" s="404"/>
      <c r="H142" s="404"/>
      <c r="I142" s="404"/>
      <c r="J142" s="404"/>
      <c r="K142" s="404"/>
      <c r="O142" s="119" t="s">
        <v>439</v>
      </c>
      <c r="P142" s="16" t="s">
        <v>439</v>
      </c>
      <c r="Q142" s="252" t="s">
        <v>439</v>
      </c>
      <c r="R142" s="10" t="s">
        <v>439</v>
      </c>
      <c r="S142" s="10" t="s">
        <v>439</v>
      </c>
      <c r="T142" s="10" t="s">
        <v>439</v>
      </c>
      <c r="U142" s="10" t="s">
        <v>439</v>
      </c>
      <c r="V142" s="1" t="s">
        <v>439</v>
      </c>
      <c r="W142" s="10" t="s">
        <v>439</v>
      </c>
      <c r="X142" s="119" t="s">
        <v>439</v>
      </c>
      <c r="Y142" s="10" t="s">
        <v>439</v>
      </c>
    </row>
    <row r="143" spans="4:25" x14ac:dyDescent="0.2">
      <c r="D143" s="404"/>
      <c r="E143" s="404"/>
      <c r="F143" s="404"/>
      <c r="G143" s="404"/>
      <c r="H143" s="404"/>
      <c r="I143" s="404"/>
      <c r="J143" s="404"/>
      <c r="K143" s="404"/>
      <c r="O143" s="119" t="s">
        <v>439</v>
      </c>
      <c r="P143" s="16" t="s">
        <v>439</v>
      </c>
      <c r="Q143" s="252" t="s">
        <v>439</v>
      </c>
      <c r="R143" s="10" t="s">
        <v>439</v>
      </c>
      <c r="S143" s="10" t="s">
        <v>439</v>
      </c>
      <c r="T143" s="10" t="s">
        <v>439</v>
      </c>
      <c r="U143" s="10" t="s">
        <v>439</v>
      </c>
      <c r="V143" s="1" t="s">
        <v>439</v>
      </c>
      <c r="W143" s="10" t="s">
        <v>439</v>
      </c>
      <c r="X143" s="119" t="s">
        <v>439</v>
      </c>
      <c r="Y143" s="10" t="s">
        <v>439</v>
      </c>
    </row>
    <row r="144" spans="4:25" x14ac:dyDescent="0.2">
      <c r="D144" s="404"/>
      <c r="E144" s="404"/>
      <c r="F144" s="404"/>
      <c r="G144" s="404"/>
      <c r="H144" s="404"/>
      <c r="I144" s="404"/>
      <c r="J144" s="404"/>
      <c r="K144" s="404"/>
      <c r="O144" s="119" t="s">
        <v>439</v>
      </c>
      <c r="P144" s="16" t="s">
        <v>439</v>
      </c>
      <c r="Q144" s="252" t="s">
        <v>439</v>
      </c>
      <c r="R144" s="10" t="s">
        <v>439</v>
      </c>
      <c r="S144" s="10" t="s">
        <v>439</v>
      </c>
      <c r="T144" s="10" t="s">
        <v>439</v>
      </c>
      <c r="U144" s="10" t="s">
        <v>439</v>
      </c>
      <c r="V144" s="1" t="s">
        <v>439</v>
      </c>
      <c r="W144" s="10" t="s">
        <v>439</v>
      </c>
      <c r="X144" s="119" t="s">
        <v>439</v>
      </c>
      <c r="Y144" s="10" t="s">
        <v>439</v>
      </c>
    </row>
    <row r="145" spans="4:25" x14ac:dyDescent="0.2">
      <c r="D145" s="404"/>
      <c r="E145" s="404"/>
      <c r="F145" s="404"/>
      <c r="G145" s="404"/>
      <c r="H145" s="404"/>
      <c r="I145" s="404"/>
      <c r="J145" s="404"/>
      <c r="K145" s="404"/>
      <c r="O145" s="119" t="s">
        <v>439</v>
      </c>
      <c r="P145" s="16" t="s">
        <v>439</v>
      </c>
      <c r="Q145" s="252" t="s">
        <v>439</v>
      </c>
      <c r="R145" s="10" t="s">
        <v>439</v>
      </c>
      <c r="S145" s="10" t="s">
        <v>439</v>
      </c>
      <c r="T145" s="10" t="s">
        <v>439</v>
      </c>
      <c r="U145" s="10" t="s">
        <v>439</v>
      </c>
      <c r="V145" s="1" t="s">
        <v>439</v>
      </c>
      <c r="W145" s="10" t="s">
        <v>439</v>
      </c>
      <c r="X145" s="119" t="s">
        <v>439</v>
      </c>
      <c r="Y145" s="10" t="s">
        <v>439</v>
      </c>
    </row>
    <row r="146" spans="4:25" x14ac:dyDescent="0.2">
      <c r="D146" s="404"/>
      <c r="E146" s="404"/>
      <c r="F146" s="404"/>
      <c r="G146" s="404"/>
      <c r="H146" s="404"/>
      <c r="I146" s="404"/>
      <c r="J146" s="404"/>
      <c r="K146" s="404"/>
      <c r="O146" s="119" t="s">
        <v>439</v>
      </c>
      <c r="P146" s="16" t="s">
        <v>439</v>
      </c>
      <c r="Q146" s="252" t="s">
        <v>439</v>
      </c>
      <c r="R146" s="10" t="s">
        <v>439</v>
      </c>
      <c r="S146" s="10" t="s">
        <v>439</v>
      </c>
      <c r="T146" s="10" t="s">
        <v>439</v>
      </c>
      <c r="U146" s="10" t="s">
        <v>439</v>
      </c>
      <c r="V146" s="1" t="s">
        <v>439</v>
      </c>
      <c r="W146" s="10" t="s">
        <v>439</v>
      </c>
      <c r="X146" s="119" t="s">
        <v>439</v>
      </c>
      <c r="Y146" s="10" t="s">
        <v>439</v>
      </c>
    </row>
    <row r="147" spans="4:25" x14ac:dyDescent="0.2">
      <c r="D147" s="404"/>
      <c r="E147" s="404"/>
      <c r="F147" s="404"/>
      <c r="G147" s="404"/>
      <c r="H147" s="404"/>
      <c r="I147" s="404"/>
      <c r="J147" s="404"/>
      <c r="K147" s="404"/>
      <c r="O147" s="119" t="s">
        <v>439</v>
      </c>
      <c r="P147" s="16" t="s">
        <v>439</v>
      </c>
      <c r="Q147" s="252" t="s">
        <v>439</v>
      </c>
      <c r="R147" s="10" t="s">
        <v>439</v>
      </c>
      <c r="S147" s="10" t="s">
        <v>439</v>
      </c>
      <c r="T147" s="10" t="s">
        <v>439</v>
      </c>
      <c r="U147" s="10" t="s">
        <v>439</v>
      </c>
      <c r="V147" s="1" t="s">
        <v>439</v>
      </c>
      <c r="W147" s="10" t="s">
        <v>439</v>
      </c>
      <c r="X147" s="119" t="s">
        <v>439</v>
      </c>
      <c r="Y147" s="10" t="s">
        <v>439</v>
      </c>
    </row>
    <row r="148" spans="4:25" x14ac:dyDescent="0.2">
      <c r="O148" s="119" t="s">
        <v>439</v>
      </c>
      <c r="P148" s="16" t="s">
        <v>439</v>
      </c>
      <c r="Q148" s="252" t="s">
        <v>439</v>
      </c>
      <c r="R148" s="10" t="s">
        <v>439</v>
      </c>
      <c r="S148" s="10" t="s">
        <v>439</v>
      </c>
      <c r="T148" s="10" t="s">
        <v>439</v>
      </c>
      <c r="U148" s="10" t="s">
        <v>439</v>
      </c>
      <c r="V148" s="1" t="s">
        <v>439</v>
      </c>
      <c r="W148" s="10" t="s">
        <v>439</v>
      </c>
      <c r="X148" s="119" t="s">
        <v>439</v>
      </c>
      <c r="Y148" s="10" t="s">
        <v>439</v>
      </c>
    </row>
    <row r="149" spans="4:25" x14ac:dyDescent="0.2">
      <c r="O149" s="119" t="s">
        <v>439</v>
      </c>
      <c r="P149" s="16" t="s">
        <v>439</v>
      </c>
      <c r="Q149" s="252" t="s">
        <v>439</v>
      </c>
      <c r="R149" s="10" t="s">
        <v>439</v>
      </c>
      <c r="S149" s="10" t="s">
        <v>439</v>
      </c>
      <c r="T149" s="10" t="s">
        <v>439</v>
      </c>
      <c r="U149" s="10" t="s">
        <v>439</v>
      </c>
      <c r="V149" s="1" t="s">
        <v>439</v>
      </c>
      <c r="W149" s="10" t="s">
        <v>439</v>
      </c>
      <c r="X149" s="119" t="s">
        <v>439</v>
      </c>
      <c r="Y149" s="10" t="s">
        <v>439</v>
      </c>
    </row>
    <row r="150" spans="4:25" x14ac:dyDescent="0.2">
      <c r="O150" s="119" t="s">
        <v>439</v>
      </c>
      <c r="P150" s="16" t="s">
        <v>439</v>
      </c>
      <c r="Q150" s="252" t="s">
        <v>439</v>
      </c>
      <c r="R150" s="10" t="s">
        <v>439</v>
      </c>
      <c r="S150" s="10" t="s">
        <v>439</v>
      </c>
      <c r="T150" s="10" t="s">
        <v>439</v>
      </c>
      <c r="U150" s="10" t="s">
        <v>439</v>
      </c>
      <c r="V150" s="1" t="s">
        <v>439</v>
      </c>
      <c r="W150" s="10" t="s">
        <v>439</v>
      </c>
      <c r="X150" s="119" t="s">
        <v>439</v>
      </c>
      <c r="Y150" s="10" t="s">
        <v>439</v>
      </c>
    </row>
    <row r="151" spans="4:25" x14ac:dyDescent="0.2">
      <c r="O151" s="119" t="s">
        <v>439</v>
      </c>
      <c r="P151" s="16" t="s">
        <v>439</v>
      </c>
      <c r="Q151" s="252" t="s">
        <v>439</v>
      </c>
      <c r="R151" s="10" t="s">
        <v>439</v>
      </c>
      <c r="S151" s="10" t="s">
        <v>439</v>
      </c>
      <c r="T151" s="10" t="s">
        <v>439</v>
      </c>
      <c r="U151" s="10" t="s">
        <v>439</v>
      </c>
      <c r="V151" s="1" t="s">
        <v>439</v>
      </c>
      <c r="W151" s="10" t="s">
        <v>439</v>
      </c>
      <c r="X151" s="119" t="s">
        <v>439</v>
      </c>
      <c r="Y151" s="10" t="s">
        <v>439</v>
      </c>
    </row>
    <row r="152" spans="4:25" x14ac:dyDescent="0.2">
      <c r="O152" s="119" t="s">
        <v>439</v>
      </c>
      <c r="P152" s="16" t="s">
        <v>439</v>
      </c>
      <c r="Q152" s="252" t="s">
        <v>439</v>
      </c>
      <c r="R152" s="10" t="s">
        <v>439</v>
      </c>
      <c r="S152" s="10" t="s">
        <v>439</v>
      </c>
      <c r="T152" s="10" t="s">
        <v>439</v>
      </c>
      <c r="U152" s="10" t="s">
        <v>439</v>
      </c>
      <c r="V152" s="1" t="s">
        <v>439</v>
      </c>
      <c r="W152" s="10" t="s">
        <v>439</v>
      </c>
      <c r="X152" s="119" t="s">
        <v>439</v>
      </c>
      <c r="Y152" s="10" t="s">
        <v>439</v>
      </c>
    </row>
    <row r="153" spans="4:25" x14ac:dyDescent="0.2">
      <c r="O153" s="119" t="s">
        <v>439</v>
      </c>
      <c r="P153" s="16" t="s">
        <v>439</v>
      </c>
      <c r="Q153" s="252" t="s">
        <v>439</v>
      </c>
      <c r="R153" s="10" t="s">
        <v>439</v>
      </c>
      <c r="S153" s="10" t="s">
        <v>439</v>
      </c>
      <c r="T153" s="10" t="s">
        <v>439</v>
      </c>
      <c r="U153" s="10" t="s">
        <v>439</v>
      </c>
      <c r="V153" s="1" t="s">
        <v>439</v>
      </c>
      <c r="W153" s="10" t="s">
        <v>439</v>
      </c>
      <c r="X153" s="119" t="s">
        <v>439</v>
      </c>
      <c r="Y153" s="10" t="s">
        <v>439</v>
      </c>
    </row>
    <row r="154" spans="4:25" x14ac:dyDescent="0.2">
      <c r="O154" s="119" t="s">
        <v>439</v>
      </c>
      <c r="P154" s="16" t="s">
        <v>439</v>
      </c>
      <c r="Q154" s="252" t="s">
        <v>439</v>
      </c>
      <c r="R154" s="10" t="s">
        <v>439</v>
      </c>
      <c r="S154" s="10" t="s">
        <v>439</v>
      </c>
      <c r="T154" s="10" t="s">
        <v>439</v>
      </c>
      <c r="U154" s="10" t="s">
        <v>439</v>
      </c>
      <c r="V154" s="1" t="s">
        <v>439</v>
      </c>
      <c r="W154" s="10" t="s">
        <v>439</v>
      </c>
      <c r="X154" s="119" t="s">
        <v>439</v>
      </c>
      <c r="Y154" s="10" t="s">
        <v>439</v>
      </c>
    </row>
    <row r="155" spans="4:25" x14ac:dyDescent="0.2">
      <c r="O155" s="119" t="s">
        <v>439</v>
      </c>
      <c r="P155" s="16" t="s">
        <v>439</v>
      </c>
      <c r="Q155" s="252" t="s">
        <v>439</v>
      </c>
      <c r="R155" s="10" t="s">
        <v>439</v>
      </c>
      <c r="S155" s="10" t="s">
        <v>439</v>
      </c>
      <c r="T155" s="10" t="s">
        <v>439</v>
      </c>
      <c r="U155" s="10" t="s">
        <v>439</v>
      </c>
      <c r="V155" s="1" t="s">
        <v>439</v>
      </c>
      <c r="W155" s="10" t="s">
        <v>439</v>
      </c>
      <c r="X155" s="119" t="s">
        <v>439</v>
      </c>
      <c r="Y155" s="10" t="s">
        <v>439</v>
      </c>
    </row>
    <row r="156" spans="4:25" x14ac:dyDescent="0.2">
      <c r="O156" s="119" t="s">
        <v>439</v>
      </c>
      <c r="P156" s="16" t="s">
        <v>439</v>
      </c>
      <c r="Q156" s="252" t="s">
        <v>439</v>
      </c>
      <c r="R156" s="10" t="s">
        <v>439</v>
      </c>
      <c r="S156" s="10" t="s">
        <v>439</v>
      </c>
      <c r="T156" s="10" t="s">
        <v>439</v>
      </c>
      <c r="U156" s="10" t="s">
        <v>439</v>
      </c>
      <c r="V156" s="1" t="s">
        <v>439</v>
      </c>
      <c r="W156" s="10" t="s">
        <v>439</v>
      </c>
      <c r="X156" s="119" t="s">
        <v>439</v>
      </c>
      <c r="Y156" s="10" t="s">
        <v>439</v>
      </c>
    </row>
    <row r="157" spans="4:25" x14ac:dyDescent="0.2">
      <c r="O157" s="119" t="s">
        <v>439</v>
      </c>
      <c r="P157" s="16" t="s">
        <v>439</v>
      </c>
      <c r="Q157" s="252" t="s">
        <v>439</v>
      </c>
      <c r="R157" s="10" t="s">
        <v>439</v>
      </c>
      <c r="S157" s="10" t="s">
        <v>439</v>
      </c>
      <c r="T157" s="10" t="s">
        <v>439</v>
      </c>
      <c r="U157" s="10" t="s">
        <v>439</v>
      </c>
      <c r="V157" s="1" t="s">
        <v>439</v>
      </c>
      <c r="W157" s="10" t="s">
        <v>439</v>
      </c>
      <c r="X157" s="119" t="s">
        <v>439</v>
      </c>
      <c r="Y157" s="10" t="s">
        <v>439</v>
      </c>
    </row>
    <row r="158" spans="4:25" x14ac:dyDescent="0.2">
      <c r="O158" s="119" t="s">
        <v>439</v>
      </c>
      <c r="P158" s="16" t="s">
        <v>439</v>
      </c>
      <c r="Q158" s="252" t="s">
        <v>439</v>
      </c>
      <c r="R158" s="10" t="s">
        <v>439</v>
      </c>
      <c r="S158" s="10" t="s">
        <v>439</v>
      </c>
      <c r="T158" s="10" t="s">
        <v>439</v>
      </c>
      <c r="U158" s="10" t="s">
        <v>439</v>
      </c>
      <c r="V158" s="1" t="s">
        <v>439</v>
      </c>
      <c r="W158" s="10" t="s">
        <v>439</v>
      </c>
      <c r="X158" s="119" t="s">
        <v>439</v>
      </c>
      <c r="Y158" s="10" t="s">
        <v>439</v>
      </c>
    </row>
    <row r="159" spans="4:25" x14ac:dyDescent="0.2">
      <c r="O159" s="119" t="s">
        <v>439</v>
      </c>
      <c r="P159" s="16" t="s">
        <v>439</v>
      </c>
      <c r="Q159" s="252" t="s">
        <v>439</v>
      </c>
      <c r="R159" s="10" t="s">
        <v>439</v>
      </c>
      <c r="S159" s="10" t="s">
        <v>439</v>
      </c>
      <c r="T159" s="10" t="s">
        <v>439</v>
      </c>
      <c r="U159" s="10" t="s">
        <v>439</v>
      </c>
      <c r="V159" s="1" t="s">
        <v>439</v>
      </c>
      <c r="W159" s="10" t="s">
        <v>439</v>
      </c>
      <c r="X159" s="119" t="s">
        <v>439</v>
      </c>
      <c r="Y159" s="10" t="s">
        <v>439</v>
      </c>
    </row>
    <row r="160" spans="4:25" x14ac:dyDescent="0.2">
      <c r="O160" s="119" t="s">
        <v>439</v>
      </c>
      <c r="P160" s="16" t="s">
        <v>439</v>
      </c>
      <c r="Q160" s="252" t="s">
        <v>439</v>
      </c>
      <c r="R160" s="10" t="s">
        <v>439</v>
      </c>
      <c r="S160" s="10" t="s">
        <v>439</v>
      </c>
      <c r="T160" s="10" t="s">
        <v>439</v>
      </c>
      <c r="U160" s="10" t="s">
        <v>439</v>
      </c>
      <c r="V160" s="1" t="s">
        <v>439</v>
      </c>
      <c r="W160" s="10" t="s">
        <v>439</v>
      </c>
      <c r="X160" s="119" t="s">
        <v>439</v>
      </c>
      <c r="Y160" s="10" t="s">
        <v>439</v>
      </c>
    </row>
    <row r="161" spans="15:25" x14ac:dyDescent="0.2">
      <c r="O161" s="119" t="s">
        <v>439</v>
      </c>
      <c r="P161" s="16" t="s">
        <v>439</v>
      </c>
      <c r="Q161" s="252" t="s">
        <v>439</v>
      </c>
      <c r="R161" s="10" t="s">
        <v>439</v>
      </c>
      <c r="S161" s="10" t="s">
        <v>439</v>
      </c>
      <c r="T161" s="10" t="s">
        <v>439</v>
      </c>
      <c r="U161" s="10" t="s">
        <v>439</v>
      </c>
      <c r="V161" s="1" t="s">
        <v>439</v>
      </c>
      <c r="W161" s="10" t="s">
        <v>439</v>
      </c>
      <c r="X161" s="119" t="s">
        <v>439</v>
      </c>
      <c r="Y161" s="10" t="s">
        <v>439</v>
      </c>
    </row>
    <row r="162" spans="15:25" x14ac:dyDescent="0.2">
      <c r="O162" s="119" t="s">
        <v>439</v>
      </c>
      <c r="P162" s="16" t="s">
        <v>439</v>
      </c>
      <c r="Q162" s="252" t="s">
        <v>439</v>
      </c>
      <c r="R162" s="10" t="s">
        <v>439</v>
      </c>
      <c r="S162" s="10" t="s">
        <v>439</v>
      </c>
      <c r="T162" s="10" t="s">
        <v>439</v>
      </c>
      <c r="U162" s="10" t="s">
        <v>439</v>
      </c>
      <c r="V162" s="1" t="s">
        <v>439</v>
      </c>
      <c r="W162" s="10" t="s">
        <v>439</v>
      </c>
      <c r="X162" s="119" t="s">
        <v>439</v>
      </c>
      <c r="Y162" s="10" t="s">
        <v>439</v>
      </c>
    </row>
    <row r="163" spans="15:25" x14ac:dyDescent="0.2">
      <c r="O163" s="119" t="s">
        <v>439</v>
      </c>
      <c r="P163" s="16" t="s">
        <v>439</v>
      </c>
      <c r="Q163" s="252" t="s">
        <v>439</v>
      </c>
      <c r="R163" s="10" t="s">
        <v>439</v>
      </c>
      <c r="S163" s="10" t="s">
        <v>439</v>
      </c>
      <c r="T163" s="10" t="s">
        <v>439</v>
      </c>
      <c r="U163" s="10" t="s">
        <v>439</v>
      </c>
      <c r="V163" s="1" t="s">
        <v>439</v>
      </c>
      <c r="W163" s="10" t="s">
        <v>439</v>
      </c>
      <c r="X163" s="119" t="s">
        <v>439</v>
      </c>
      <c r="Y163" s="10" t="s">
        <v>439</v>
      </c>
    </row>
    <row r="164" spans="15:25" x14ac:dyDescent="0.2">
      <c r="O164" s="119" t="s">
        <v>439</v>
      </c>
      <c r="P164" s="16" t="s">
        <v>439</v>
      </c>
      <c r="Q164" s="252" t="s">
        <v>439</v>
      </c>
      <c r="R164" s="10" t="s">
        <v>439</v>
      </c>
      <c r="S164" s="10" t="s">
        <v>439</v>
      </c>
      <c r="T164" s="10" t="s">
        <v>439</v>
      </c>
      <c r="U164" s="10" t="s">
        <v>439</v>
      </c>
      <c r="V164" s="1" t="s">
        <v>439</v>
      </c>
      <c r="W164" s="10" t="s">
        <v>439</v>
      </c>
      <c r="X164" s="119" t="s">
        <v>439</v>
      </c>
      <c r="Y164" s="10" t="s">
        <v>439</v>
      </c>
    </row>
    <row r="165" spans="15:25" x14ac:dyDescent="0.2">
      <c r="O165" s="119" t="s">
        <v>439</v>
      </c>
      <c r="P165" s="16" t="s">
        <v>439</v>
      </c>
      <c r="Q165" s="252" t="s">
        <v>439</v>
      </c>
      <c r="R165" s="10" t="s">
        <v>439</v>
      </c>
      <c r="S165" s="10" t="s">
        <v>439</v>
      </c>
      <c r="T165" s="10" t="s">
        <v>439</v>
      </c>
      <c r="U165" s="10" t="s">
        <v>439</v>
      </c>
      <c r="V165" s="1" t="s">
        <v>439</v>
      </c>
      <c r="W165" s="10" t="s">
        <v>439</v>
      </c>
      <c r="X165" s="119" t="s">
        <v>439</v>
      </c>
      <c r="Y165" s="10" t="s">
        <v>439</v>
      </c>
    </row>
    <row r="166" spans="15:25" x14ac:dyDescent="0.2">
      <c r="O166" s="119" t="s">
        <v>439</v>
      </c>
      <c r="P166" s="16" t="s">
        <v>439</v>
      </c>
      <c r="Q166" s="252" t="s">
        <v>439</v>
      </c>
      <c r="R166" s="10" t="s">
        <v>439</v>
      </c>
      <c r="S166" s="10" t="s">
        <v>439</v>
      </c>
      <c r="T166" s="10" t="s">
        <v>439</v>
      </c>
      <c r="U166" s="10" t="s">
        <v>439</v>
      </c>
      <c r="V166" s="1" t="s">
        <v>439</v>
      </c>
      <c r="W166" s="10" t="s">
        <v>439</v>
      </c>
      <c r="X166" s="119" t="s">
        <v>439</v>
      </c>
      <c r="Y166" s="10" t="s">
        <v>439</v>
      </c>
    </row>
    <row r="167" spans="15:25" x14ac:dyDescent="0.2">
      <c r="O167" s="119" t="s">
        <v>439</v>
      </c>
      <c r="P167" s="16" t="s">
        <v>439</v>
      </c>
      <c r="Q167" s="252" t="s">
        <v>439</v>
      </c>
      <c r="R167" s="10" t="s">
        <v>439</v>
      </c>
      <c r="S167" s="10" t="s">
        <v>439</v>
      </c>
      <c r="T167" s="10" t="s">
        <v>439</v>
      </c>
      <c r="U167" s="10" t="s">
        <v>439</v>
      </c>
      <c r="V167" s="1" t="s">
        <v>439</v>
      </c>
      <c r="W167" s="10" t="s">
        <v>439</v>
      </c>
      <c r="X167" s="119" t="s">
        <v>439</v>
      </c>
      <c r="Y167" s="10" t="s">
        <v>439</v>
      </c>
    </row>
    <row r="168" spans="15:25" x14ac:dyDescent="0.2">
      <c r="O168" s="119" t="s">
        <v>439</v>
      </c>
      <c r="P168" s="16" t="s">
        <v>439</v>
      </c>
      <c r="Q168" s="252" t="s">
        <v>439</v>
      </c>
      <c r="R168" s="10" t="s">
        <v>439</v>
      </c>
      <c r="S168" s="10" t="s">
        <v>439</v>
      </c>
      <c r="T168" s="10" t="s">
        <v>439</v>
      </c>
      <c r="U168" s="10" t="s">
        <v>439</v>
      </c>
      <c r="V168" s="1" t="s">
        <v>439</v>
      </c>
      <c r="W168" s="10" t="s">
        <v>439</v>
      </c>
      <c r="X168" s="119" t="s">
        <v>439</v>
      </c>
      <c r="Y168" s="10" t="s">
        <v>439</v>
      </c>
    </row>
    <row r="169" spans="15:25" x14ac:dyDescent="0.2">
      <c r="O169" s="119" t="s">
        <v>439</v>
      </c>
      <c r="P169" s="16" t="s">
        <v>439</v>
      </c>
      <c r="Q169" s="252" t="s">
        <v>439</v>
      </c>
      <c r="R169" s="10" t="s">
        <v>439</v>
      </c>
      <c r="S169" s="10" t="s">
        <v>439</v>
      </c>
      <c r="T169" s="10" t="s">
        <v>439</v>
      </c>
      <c r="U169" s="10" t="s">
        <v>439</v>
      </c>
      <c r="V169" s="1" t="s">
        <v>439</v>
      </c>
      <c r="W169" s="10" t="s">
        <v>439</v>
      </c>
      <c r="X169" s="119" t="s">
        <v>439</v>
      </c>
      <c r="Y169" s="10" t="s">
        <v>439</v>
      </c>
    </row>
    <row r="170" spans="15:25" x14ac:dyDescent="0.2">
      <c r="O170" s="119" t="s">
        <v>439</v>
      </c>
      <c r="P170" s="16" t="s">
        <v>439</v>
      </c>
      <c r="Q170" s="252" t="s">
        <v>439</v>
      </c>
      <c r="R170" s="10" t="s">
        <v>439</v>
      </c>
      <c r="S170" s="10" t="s">
        <v>439</v>
      </c>
      <c r="T170" s="10" t="s">
        <v>439</v>
      </c>
      <c r="U170" s="10" t="s">
        <v>439</v>
      </c>
      <c r="V170" s="1" t="s">
        <v>439</v>
      </c>
      <c r="W170" s="10" t="s">
        <v>439</v>
      </c>
      <c r="X170" s="119" t="s">
        <v>439</v>
      </c>
      <c r="Y170" s="10" t="s">
        <v>439</v>
      </c>
    </row>
    <row r="171" spans="15:25" x14ac:dyDescent="0.2">
      <c r="O171" s="119" t="s">
        <v>439</v>
      </c>
      <c r="P171" s="16" t="s">
        <v>439</v>
      </c>
      <c r="Q171" s="252" t="s">
        <v>439</v>
      </c>
      <c r="R171" s="10" t="s">
        <v>439</v>
      </c>
      <c r="S171" s="10" t="s">
        <v>439</v>
      </c>
      <c r="T171" s="10" t="s">
        <v>439</v>
      </c>
      <c r="U171" s="10" t="s">
        <v>439</v>
      </c>
      <c r="V171" s="1" t="s">
        <v>439</v>
      </c>
      <c r="W171" s="10" t="s">
        <v>439</v>
      </c>
      <c r="X171" s="119" t="s">
        <v>439</v>
      </c>
      <c r="Y171" s="10" t="s">
        <v>439</v>
      </c>
    </row>
    <row r="172" spans="15:25" x14ac:dyDescent="0.2">
      <c r="O172" s="119" t="s">
        <v>439</v>
      </c>
      <c r="P172" s="16" t="s">
        <v>439</v>
      </c>
      <c r="Q172" s="252" t="s">
        <v>439</v>
      </c>
      <c r="R172" s="10" t="s">
        <v>439</v>
      </c>
      <c r="S172" s="10" t="s">
        <v>439</v>
      </c>
      <c r="T172" s="10" t="s">
        <v>439</v>
      </c>
      <c r="U172" s="10" t="s">
        <v>439</v>
      </c>
      <c r="V172" s="1" t="s">
        <v>439</v>
      </c>
      <c r="W172" s="10" t="s">
        <v>439</v>
      </c>
      <c r="X172" s="119" t="s">
        <v>439</v>
      </c>
      <c r="Y172" s="10" t="s">
        <v>439</v>
      </c>
    </row>
    <row r="173" spans="15:25" x14ac:dyDescent="0.2">
      <c r="O173" s="119" t="s">
        <v>439</v>
      </c>
      <c r="P173" s="16" t="s">
        <v>439</v>
      </c>
      <c r="Q173" s="252" t="s">
        <v>439</v>
      </c>
      <c r="R173" s="10" t="s">
        <v>439</v>
      </c>
      <c r="S173" s="10" t="s">
        <v>439</v>
      </c>
      <c r="T173" s="10" t="s">
        <v>439</v>
      </c>
      <c r="U173" s="10" t="s">
        <v>439</v>
      </c>
      <c r="V173" s="1" t="s">
        <v>439</v>
      </c>
      <c r="W173" s="10" t="s">
        <v>439</v>
      </c>
      <c r="X173" s="119" t="s">
        <v>439</v>
      </c>
      <c r="Y173" s="10" t="s">
        <v>439</v>
      </c>
    </row>
    <row r="174" spans="15:25" x14ac:dyDescent="0.2">
      <c r="O174" s="119" t="s">
        <v>439</v>
      </c>
      <c r="P174" s="16" t="s">
        <v>439</v>
      </c>
      <c r="Q174" s="252" t="s">
        <v>439</v>
      </c>
      <c r="R174" s="10" t="s">
        <v>439</v>
      </c>
      <c r="S174" s="10" t="s">
        <v>439</v>
      </c>
      <c r="T174" s="10" t="s">
        <v>439</v>
      </c>
      <c r="U174" s="10" t="s">
        <v>439</v>
      </c>
      <c r="V174" s="1" t="s">
        <v>439</v>
      </c>
      <c r="W174" s="10" t="s">
        <v>439</v>
      </c>
      <c r="X174" s="119" t="s">
        <v>439</v>
      </c>
      <c r="Y174" s="10" t="s">
        <v>439</v>
      </c>
    </row>
    <row r="175" spans="15:25" x14ac:dyDescent="0.2">
      <c r="O175" s="119" t="s">
        <v>439</v>
      </c>
      <c r="P175" s="16" t="s">
        <v>439</v>
      </c>
      <c r="Q175" s="252" t="s">
        <v>439</v>
      </c>
      <c r="R175" s="10" t="s">
        <v>439</v>
      </c>
      <c r="S175" s="10" t="s">
        <v>439</v>
      </c>
      <c r="T175" s="10" t="s">
        <v>439</v>
      </c>
      <c r="U175" s="10" t="s">
        <v>439</v>
      </c>
      <c r="V175" s="1" t="s">
        <v>439</v>
      </c>
      <c r="W175" s="10" t="s">
        <v>439</v>
      </c>
      <c r="X175" s="119" t="s">
        <v>439</v>
      </c>
      <c r="Y175" s="10" t="s">
        <v>439</v>
      </c>
    </row>
    <row r="176" spans="15:25" x14ac:dyDescent="0.2">
      <c r="O176" s="119" t="s">
        <v>439</v>
      </c>
      <c r="P176" s="16" t="s">
        <v>439</v>
      </c>
      <c r="Q176" s="252" t="s">
        <v>439</v>
      </c>
      <c r="R176" s="10" t="s">
        <v>439</v>
      </c>
      <c r="S176" s="10" t="s">
        <v>439</v>
      </c>
      <c r="T176" s="10" t="s">
        <v>439</v>
      </c>
      <c r="U176" s="10" t="s">
        <v>439</v>
      </c>
      <c r="V176" s="1" t="s">
        <v>439</v>
      </c>
      <c r="W176" s="10" t="s">
        <v>439</v>
      </c>
      <c r="X176" s="119" t="s">
        <v>439</v>
      </c>
      <c r="Y176" s="10" t="s">
        <v>439</v>
      </c>
    </row>
    <row r="177" spans="15:25" x14ac:dyDescent="0.2">
      <c r="O177" s="119" t="s">
        <v>439</v>
      </c>
      <c r="P177" s="16" t="s">
        <v>439</v>
      </c>
      <c r="Q177" s="252" t="s">
        <v>439</v>
      </c>
      <c r="R177" s="10" t="s">
        <v>439</v>
      </c>
      <c r="S177" s="10" t="s">
        <v>439</v>
      </c>
      <c r="T177" s="10" t="s">
        <v>439</v>
      </c>
      <c r="U177" s="10" t="s">
        <v>439</v>
      </c>
      <c r="V177" s="1" t="s">
        <v>439</v>
      </c>
      <c r="W177" s="10" t="s">
        <v>439</v>
      </c>
      <c r="X177" s="119" t="s">
        <v>439</v>
      </c>
      <c r="Y177" s="10" t="s">
        <v>439</v>
      </c>
    </row>
    <row r="178" spans="15:25" x14ac:dyDescent="0.2">
      <c r="O178" s="119" t="s">
        <v>439</v>
      </c>
      <c r="P178" s="16" t="s">
        <v>439</v>
      </c>
      <c r="Q178" s="252" t="s">
        <v>439</v>
      </c>
      <c r="R178" s="10" t="s">
        <v>439</v>
      </c>
      <c r="S178" s="10" t="s">
        <v>439</v>
      </c>
      <c r="T178" s="10" t="s">
        <v>439</v>
      </c>
      <c r="U178" s="10" t="s">
        <v>439</v>
      </c>
      <c r="V178" s="1" t="s">
        <v>439</v>
      </c>
      <c r="W178" s="10" t="s">
        <v>439</v>
      </c>
      <c r="X178" s="119" t="s">
        <v>439</v>
      </c>
      <c r="Y178" s="10" t="s">
        <v>439</v>
      </c>
    </row>
    <row r="179" spans="15:25" x14ac:dyDescent="0.2">
      <c r="O179" s="119" t="s">
        <v>439</v>
      </c>
      <c r="P179" s="16" t="s">
        <v>439</v>
      </c>
      <c r="Q179" s="252" t="s">
        <v>439</v>
      </c>
      <c r="R179" s="10" t="s">
        <v>439</v>
      </c>
      <c r="S179" s="10" t="s">
        <v>439</v>
      </c>
      <c r="T179" s="10" t="s">
        <v>439</v>
      </c>
      <c r="U179" s="10" t="s">
        <v>439</v>
      </c>
      <c r="V179" s="1" t="s">
        <v>439</v>
      </c>
      <c r="W179" s="10" t="s">
        <v>439</v>
      </c>
      <c r="X179" s="119" t="s">
        <v>439</v>
      </c>
      <c r="Y179" s="10" t="s">
        <v>439</v>
      </c>
    </row>
    <row r="180" spans="15:25" x14ac:dyDescent="0.2">
      <c r="O180" s="119" t="s">
        <v>439</v>
      </c>
      <c r="P180" s="16" t="s">
        <v>439</v>
      </c>
      <c r="Q180" s="252" t="s">
        <v>439</v>
      </c>
      <c r="R180" s="10" t="s">
        <v>439</v>
      </c>
      <c r="S180" s="10" t="s">
        <v>439</v>
      </c>
      <c r="T180" s="10" t="s">
        <v>439</v>
      </c>
      <c r="U180" s="10" t="s">
        <v>439</v>
      </c>
      <c r="V180" s="1" t="s">
        <v>439</v>
      </c>
      <c r="W180" s="10" t="s">
        <v>439</v>
      </c>
      <c r="X180" s="119" t="s">
        <v>439</v>
      </c>
      <c r="Y180" s="10" t="s">
        <v>439</v>
      </c>
    </row>
    <row r="181" spans="15:25" x14ac:dyDescent="0.2">
      <c r="O181" s="119" t="s">
        <v>439</v>
      </c>
      <c r="P181" s="16" t="s">
        <v>439</v>
      </c>
      <c r="Q181" s="252" t="s">
        <v>439</v>
      </c>
      <c r="R181" s="10" t="s">
        <v>439</v>
      </c>
      <c r="S181" s="10" t="s">
        <v>439</v>
      </c>
      <c r="T181" s="10" t="s">
        <v>439</v>
      </c>
      <c r="U181" s="10" t="s">
        <v>439</v>
      </c>
      <c r="V181" s="1" t="s">
        <v>439</v>
      </c>
      <c r="W181" s="10" t="s">
        <v>439</v>
      </c>
      <c r="X181" s="119" t="s">
        <v>439</v>
      </c>
      <c r="Y181" s="10" t="s">
        <v>439</v>
      </c>
    </row>
    <row r="182" spans="15:25" x14ac:dyDescent="0.2">
      <c r="O182" s="119" t="s">
        <v>439</v>
      </c>
      <c r="P182" s="16" t="s">
        <v>439</v>
      </c>
      <c r="Q182" s="252" t="s">
        <v>439</v>
      </c>
      <c r="R182" s="10" t="s">
        <v>439</v>
      </c>
      <c r="S182" s="10" t="s">
        <v>439</v>
      </c>
      <c r="T182" s="10" t="s">
        <v>439</v>
      </c>
      <c r="U182" s="10" t="s">
        <v>439</v>
      </c>
      <c r="V182" s="1" t="s">
        <v>439</v>
      </c>
      <c r="W182" s="10" t="s">
        <v>439</v>
      </c>
      <c r="X182" s="119" t="s">
        <v>439</v>
      </c>
      <c r="Y182" s="10" t="s">
        <v>439</v>
      </c>
    </row>
    <row r="183" spans="15:25" x14ac:dyDescent="0.2">
      <c r="O183" s="119" t="s">
        <v>439</v>
      </c>
      <c r="P183" s="16" t="s">
        <v>439</v>
      </c>
      <c r="Q183" s="252" t="s">
        <v>439</v>
      </c>
      <c r="R183" s="10" t="s">
        <v>439</v>
      </c>
      <c r="S183" s="10" t="s">
        <v>439</v>
      </c>
      <c r="T183" s="10" t="s">
        <v>439</v>
      </c>
      <c r="U183" s="10" t="s">
        <v>439</v>
      </c>
      <c r="V183" s="1" t="s">
        <v>439</v>
      </c>
      <c r="W183" s="10" t="s">
        <v>439</v>
      </c>
      <c r="X183" s="119" t="s">
        <v>439</v>
      </c>
      <c r="Y183" s="10" t="s">
        <v>439</v>
      </c>
    </row>
    <row r="184" spans="15:25" x14ac:dyDescent="0.2">
      <c r="O184" s="119" t="s">
        <v>439</v>
      </c>
      <c r="P184" s="16" t="s">
        <v>439</v>
      </c>
      <c r="Q184" s="252" t="s">
        <v>439</v>
      </c>
      <c r="R184" s="10" t="s">
        <v>439</v>
      </c>
      <c r="S184" s="10" t="s">
        <v>439</v>
      </c>
      <c r="T184" s="10" t="s">
        <v>439</v>
      </c>
      <c r="U184" s="10" t="s">
        <v>439</v>
      </c>
      <c r="V184" s="1" t="s">
        <v>439</v>
      </c>
      <c r="W184" s="10" t="s">
        <v>439</v>
      </c>
      <c r="X184" s="119" t="s">
        <v>439</v>
      </c>
      <c r="Y184" s="10" t="s">
        <v>439</v>
      </c>
    </row>
    <row r="185" spans="15:25" x14ac:dyDescent="0.2">
      <c r="O185" s="119" t="s">
        <v>439</v>
      </c>
      <c r="P185" s="16" t="s">
        <v>439</v>
      </c>
      <c r="Q185" s="252" t="s">
        <v>439</v>
      </c>
      <c r="R185" s="10" t="s">
        <v>439</v>
      </c>
      <c r="S185" s="10" t="s">
        <v>439</v>
      </c>
      <c r="T185" s="10" t="s">
        <v>439</v>
      </c>
      <c r="U185" s="10" t="s">
        <v>439</v>
      </c>
      <c r="V185" s="1" t="s">
        <v>439</v>
      </c>
      <c r="W185" s="10" t="s">
        <v>439</v>
      </c>
      <c r="X185" s="119" t="s">
        <v>439</v>
      </c>
      <c r="Y185" s="10" t="s">
        <v>439</v>
      </c>
    </row>
    <row r="186" spans="15:25" x14ac:dyDescent="0.2">
      <c r="O186" s="119" t="s">
        <v>439</v>
      </c>
      <c r="P186" s="16" t="s">
        <v>439</v>
      </c>
      <c r="Q186" s="252" t="s">
        <v>439</v>
      </c>
      <c r="R186" s="10" t="s">
        <v>439</v>
      </c>
      <c r="S186" s="10" t="s">
        <v>439</v>
      </c>
      <c r="T186" s="10" t="s">
        <v>439</v>
      </c>
      <c r="U186" s="10" t="s">
        <v>439</v>
      </c>
      <c r="V186" s="1" t="s">
        <v>439</v>
      </c>
      <c r="W186" s="10" t="s">
        <v>439</v>
      </c>
      <c r="X186" s="119" t="s">
        <v>439</v>
      </c>
      <c r="Y186" s="10" t="s">
        <v>439</v>
      </c>
    </row>
    <row r="187" spans="15:25" x14ac:dyDescent="0.2">
      <c r="O187" s="119" t="s">
        <v>439</v>
      </c>
      <c r="P187" s="16" t="s">
        <v>439</v>
      </c>
      <c r="Q187" s="252" t="s">
        <v>439</v>
      </c>
      <c r="R187" s="10" t="s">
        <v>439</v>
      </c>
      <c r="S187" s="10" t="s">
        <v>439</v>
      </c>
      <c r="T187" s="10" t="s">
        <v>439</v>
      </c>
      <c r="U187" s="10" t="s">
        <v>439</v>
      </c>
      <c r="V187" s="1" t="s">
        <v>439</v>
      </c>
      <c r="W187" s="10" t="s">
        <v>439</v>
      </c>
      <c r="X187" s="119" t="s">
        <v>439</v>
      </c>
      <c r="Y187" s="10" t="s">
        <v>439</v>
      </c>
    </row>
    <row r="188" spans="15:25" x14ac:dyDescent="0.2">
      <c r="O188" s="119" t="s">
        <v>439</v>
      </c>
      <c r="P188" s="16" t="s">
        <v>439</v>
      </c>
      <c r="Q188" s="252" t="s">
        <v>439</v>
      </c>
      <c r="R188" s="10" t="s">
        <v>439</v>
      </c>
      <c r="S188" s="10" t="s">
        <v>439</v>
      </c>
      <c r="T188" s="10" t="s">
        <v>439</v>
      </c>
      <c r="U188" s="10" t="s">
        <v>439</v>
      </c>
      <c r="V188" s="1" t="s">
        <v>439</v>
      </c>
      <c r="W188" s="10" t="s">
        <v>439</v>
      </c>
      <c r="X188" s="119" t="s">
        <v>439</v>
      </c>
      <c r="Y188" s="10" t="s">
        <v>439</v>
      </c>
    </row>
    <row r="189" spans="15:25" x14ac:dyDescent="0.2">
      <c r="O189" s="119" t="s">
        <v>439</v>
      </c>
      <c r="P189" s="16" t="s">
        <v>439</v>
      </c>
      <c r="Q189" s="252" t="s">
        <v>439</v>
      </c>
      <c r="R189" s="10" t="s">
        <v>439</v>
      </c>
      <c r="S189" s="10" t="s">
        <v>439</v>
      </c>
      <c r="T189" s="10" t="s">
        <v>439</v>
      </c>
      <c r="U189" s="10" t="s">
        <v>439</v>
      </c>
      <c r="V189" s="1" t="s">
        <v>439</v>
      </c>
      <c r="W189" s="10" t="s">
        <v>439</v>
      </c>
      <c r="X189" s="119" t="s">
        <v>439</v>
      </c>
      <c r="Y189" s="10" t="s">
        <v>439</v>
      </c>
    </row>
    <row r="190" spans="15:25" x14ac:dyDescent="0.2">
      <c r="O190" s="119" t="s">
        <v>439</v>
      </c>
      <c r="P190" s="16" t="s">
        <v>439</v>
      </c>
      <c r="Q190" s="252" t="s">
        <v>439</v>
      </c>
      <c r="R190" s="10" t="s">
        <v>439</v>
      </c>
      <c r="S190" s="10" t="s">
        <v>439</v>
      </c>
      <c r="T190" s="10" t="s">
        <v>439</v>
      </c>
      <c r="U190" s="10" t="s">
        <v>439</v>
      </c>
      <c r="V190" s="1" t="s">
        <v>439</v>
      </c>
      <c r="W190" s="10" t="s">
        <v>439</v>
      </c>
      <c r="X190" s="119" t="s">
        <v>439</v>
      </c>
      <c r="Y190" s="10" t="s">
        <v>439</v>
      </c>
    </row>
    <row r="191" spans="15:25" x14ac:dyDescent="0.2">
      <c r="O191" s="119" t="s">
        <v>439</v>
      </c>
      <c r="P191" s="16" t="s">
        <v>439</v>
      </c>
      <c r="Q191" s="252" t="s">
        <v>439</v>
      </c>
      <c r="R191" s="10" t="s">
        <v>439</v>
      </c>
      <c r="S191" s="10" t="s">
        <v>439</v>
      </c>
      <c r="T191" s="10" t="s">
        <v>439</v>
      </c>
      <c r="U191" s="10" t="s">
        <v>439</v>
      </c>
      <c r="V191" s="1" t="s">
        <v>439</v>
      </c>
      <c r="W191" s="10" t="s">
        <v>439</v>
      </c>
      <c r="X191" s="119" t="s">
        <v>439</v>
      </c>
      <c r="Y191" s="10" t="s">
        <v>439</v>
      </c>
    </row>
    <row r="192" spans="15:25" x14ac:dyDescent="0.2">
      <c r="O192" s="119" t="s">
        <v>439</v>
      </c>
      <c r="P192" s="16" t="s">
        <v>439</v>
      </c>
      <c r="Q192" s="252" t="s">
        <v>439</v>
      </c>
      <c r="R192" s="10" t="s">
        <v>439</v>
      </c>
      <c r="S192" s="10" t="s">
        <v>439</v>
      </c>
      <c r="T192" s="10" t="s">
        <v>439</v>
      </c>
      <c r="U192" s="10" t="s">
        <v>439</v>
      </c>
      <c r="V192" s="1" t="s">
        <v>439</v>
      </c>
      <c r="W192" s="10" t="s">
        <v>439</v>
      </c>
      <c r="X192" s="119" t="s">
        <v>439</v>
      </c>
      <c r="Y192" s="10" t="s">
        <v>439</v>
      </c>
    </row>
    <row r="193" spans="15:25" x14ac:dyDescent="0.2">
      <c r="O193" s="119" t="s">
        <v>439</v>
      </c>
      <c r="P193" s="16" t="s">
        <v>439</v>
      </c>
      <c r="Q193" s="252" t="s">
        <v>439</v>
      </c>
      <c r="R193" s="10" t="s">
        <v>439</v>
      </c>
      <c r="S193" s="10" t="s">
        <v>439</v>
      </c>
      <c r="T193" s="10" t="s">
        <v>439</v>
      </c>
      <c r="U193" s="10" t="s">
        <v>439</v>
      </c>
      <c r="V193" s="1" t="s">
        <v>439</v>
      </c>
      <c r="W193" s="10" t="s">
        <v>439</v>
      </c>
      <c r="X193" s="119" t="s">
        <v>439</v>
      </c>
      <c r="Y193" s="10" t="s">
        <v>439</v>
      </c>
    </row>
    <row r="194" spans="15:25" x14ac:dyDescent="0.2">
      <c r="O194" s="119" t="s">
        <v>439</v>
      </c>
      <c r="P194" s="16" t="s">
        <v>439</v>
      </c>
      <c r="Q194" s="252" t="s">
        <v>439</v>
      </c>
      <c r="R194" s="10" t="s">
        <v>439</v>
      </c>
      <c r="S194" s="10" t="s">
        <v>439</v>
      </c>
      <c r="T194" s="10" t="s">
        <v>439</v>
      </c>
      <c r="U194" s="10" t="s">
        <v>439</v>
      </c>
      <c r="V194" s="1" t="s">
        <v>439</v>
      </c>
      <c r="W194" s="10" t="s">
        <v>439</v>
      </c>
      <c r="X194" s="119" t="s">
        <v>439</v>
      </c>
      <c r="Y194" s="10" t="s">
        <v>439</v>
      </c>
    </row>
    <row r="195" spans="15:25" x14ac:dyDescent="0.2">
      <c r="O195" s="119" t="s">
        <v>439</v>
      </c>
      <c r="P195" s="16" t="s">
        <v>439</v>
      </c>
      <c r="Q195" s="252" t="s">
        <v>439</v>
      </c>
      <c r="R195" s="10" t="s">
        <v>439</v>
      </c>
      <c r="S195" s="10" t="s">
        <v>439</v>
      </c>
      <c r="T195" s="10" t="s">
        <v>439</v>
      </c>
      <c r="U195" s="10" t="s">
        <v>439</v>
      </c>
      <c r="V195" s="1" t="s">
        <v>439</v>
      </c>
      <c r="W195" s="10" t="s">
        <v>439</v>
      </c>
      <c r="X195" s="119" t="s">
        <v>439</v>
      </c>
      <c r="Y195" s="10" t="s">
        <v>439</v>
      </c>
    </row>
    <row r="196" spans="15:25" x14ac:dyDescent="0.2">
      <c r="O196" s="119" t="s">
        <v>439</v>
      </c>
      <c r="P196" s="16" t="s">
        <v>439</v>
      </c>
      <c r="Q196" s="252" t="s">
        <v>439</v>
      </c>
      <c r="R196" s="10" t="s">
        <v>439</v>
      </c>
      <c r="S196" s="10" t="s">
        <v>439</v>
      </c>
      <c r="T196" s="10" t="s">
        <v>439</v>
      </c>
      <c r="U196" s="10" t="s">
        <v>439</v>
      </c>
      <c r="V196" s="1" t="s">
        <v>439</v>
      </c>
      <c r="W196" s="10" t="s">
        <v>439</v>
      </c>
      <c r="X196" s="119" t="s">
        <v>439</v>
      </c>
      <c r="Y196" s="10" t="s">
        <v>439</v>
      </c>
    </row>
    <row r="197" spans="15:25" x14ac:dyDescent="0.2">
      <c r="O197" s="119" t="s">
        <v>439</v>
      </c>
      <c r="P197" s="16" t="s">
        <v>439</v>
      </c>
      <c r="Q197" s="252" t="s">
        <v>439</v>
      </c>
      <c r="R197" s="10" t="s">
        <v>439</v>
      </c>
      <c r="S197" s="10" t="s">
        <v>439</v>
      </c>
      <c r="T197" s="10" t="s">
        <v>439</v>
      </c>
      <c r="U197" s="10" t="s">
        <v>439</v>
      </c>
      <c r="V197" s="1" t="s">
        <v>439</v>
      </c>
      <c r="W197" s="10" t="s">
        <v>439</v>
      </c>
      <c r="X197" s="119" t="s">
        <v>439</v>
      </c>
      <c r="Y197" s="10" t="s">
        <v>439</v>
      </c>
    </row>
    <row r="198" spans="15:25" x14ac:dyDescent="0.2">
      <c r="O198" s="119" t="s">
        <v>439</v>
      </c>
      <c r="P198" s="16" t="s">
        <v>439</v>
      </c>
      <c r="Q198" s="252" t="s">
        <v>439</v>
      </c>
      <c r="R198" s="10" t="s">
        <v>439</v>
      </c>
      <c r="S198" s="10" t="s">
        <v>439</v>
      </c>
      <c r="T198" s="10" t="s">
        <v>439</v>
      </c>
      <c r="U198" s="10" t="s">
        <v>439</v>
      </c>
      <c r="V198" s="1" t="s">
        <v>439</v>
      </c>
      <c r="W198" s="10" t="s">
        <v>439</v>
      </c>
      <c r="X198" s="119" t="s">
        <v>439</v>
      </c>
      <c r="Y198" s="10" t="s">
        <v>439</v>
      </c>
    </row>
    <row r="199" spans="15:25" x14ac:dyDescent="0.2">
      <c r="O199" s="119" t="s">
        <v>439</v>
      </c>
      <c r="P199" s="16" t="s">
        <v>439</v>
      </c>
      <c r="Q199" s="252" t="s">
        <v>439</v>
      </c>
      <c r="R199" s="10" t="s">
        <v>439</v>
      </c>
      <c r="S199" s="10" t="s">
        <v>439</v>
      </c>
      <c r="T199" s="10" t="s">
        <v>439</v>
      </c>
      <c r="U199" s="10" t="s">
        <v>439</v>
      </c>
      <c r="V199" s="1" t="s">
        <v>439</v>
      </c>
      <c r="W199" s="10" t="s">
        <v>439</v>
      </c>
      <c r="X199" s="119" t="s">
        <v>439</v>
      </c>
      <c r="Y199" s="10" t="s">
        <v>439</v>
      </c>
    </row>
    <row r="200" spans="15:25" x14ac:dyDescent="0.2">
      <c r="O200" s="119" t="s">
        <v>439</v>
      </c>
      <c r="P200" s="16" t="s">
        <v>439</v>
      </c>
      <c r="Q200" s="252" t="s">
        <v>439</v>
      </c>
      <c r="R200" s="10" t="s">
        <v>439</v>
      </c>
      <c r="S200" s="10" t="s">
        <v>439</v>
      </c>
      <c r="T200" s="10" t="s">
        <v>439</v>
      </c>
      <c r="U200" s="10" t="s">
        <v>439</v>
      </c>
      <c r="V200" s="1" t="s">
        <v>439</v>
      </c>
      <c r="W200" s="10" t="s">
        <v>439</v>
      </c>
      <c r="X200" s="119" t="s">
        <v>439</v>
      </c>
      <c r="Y200" s="10" t="s">
        <v>439</v>
      </c>
    </row>
    <row r="201" spans="15:25" x14ac:dyDescent="0.2">
      <c r="O201" s="119" t="s">
        <v>439</v>
      </c>
      <c r="P201" s="16" t="s">
        <v>439</v>
      </c>
      <c r="Q201" s="252" t="s">
        <v>439</v>
      </c>
      <c r="R201" s="10" t="s">
        <v>439</v>
      </c>
      <c r="S201" s="10" t="s">
        <v>439</v>
      </c>
      <c r="T201" s="10" t="s">
        <v>439</v>
      </c>
      <c r="U201" s="10" t="s">
        <v>439</v>
      </c>
      <c r="V201" s="1" t="s">
        <v>439</v>
      </c>
      <c r="W201" s="10" t="s">
        <v>439</v>
      </c>
      <c r="X201" s="119" t="s">
        <v>439</v>
      </c>
      <c r="Y201" s="10" t="s">
        <v>439</v>
      </c>
    </row>
    <row r="202" spans="15:25" x14ac:dyDescent="0.2">
      <c r="O202" s="119" t="s">
        <v>439</v>
      </c>
      <c r="P202" s="16" t="s">
        <v>439</v>
      </c>
      <c r="Q202" s="252" t="s">
        <v>439</v>
      </c>
      <c r="R202" s="10" t="s">
        <v>439</v>
      </c>
      <c r="S202" s="10" t="s">
        <v>439</v>
      </c>
      <c r="T202" s="10" t="s">
        <v>439</v>
      </c>
      <c r="U202" s="10" t="s">
        <v>439</v>
      </c>
      <c r="V202" s="1" t="s">
        <v>439</v>
      </c>
      <c r="W202" s="10" t="s">
        <v>439</v>
      </c>
      <c r="X202" s="119" t="s">
        <v>439</v>
      </c>
      <c r="Y202" s="10" t="s">
        <v>439</v>
      </c>
    </row>
    <row r="203" spans="15:25" x14ac:dyDescent="0.2">
      <c r="O203" s="119" t="s">
        <v>439</v>
      </c>
      <c r="P203" s="16" t="s">
        <v>439</v>
      </c>
      <c r="Q203" s="252" t="s">
        <v>439</v>
      </c>
      <c r="R203" s="10" t="s">
        <v>439</v>
      </c>
      <c r="S203" s="10" t="s">
        <v>439</v>
      </c>
      <c r="T203" s="10" t="s">
        <v>439</v>
      </c>
      <c r="U203" s="10" t="s">
        <v>439</v>
      </c>
      <c r="V203" s="1" t="s">
        <v>439</v>
      </c>
      <c r="W203" s="10" t="s">
        <v>439</v>
      </c>
      <c r="X203" s="119" t="s">
        <v>439</v>
      </c>
      <c r="Y203" s="10" t="s">
        <v>439</v>
      </c>
    </row>
    <row r="204" spans="15:25" x14ac:dyDescent="0.2">
      <c r="O204" s="119" t="s">
        <v>439</v>
      </c>
      <c r="P204" s="16" t="s">
        <v>439</v>
      </c>
      <c r="Q204" s="252" t="s">
        <v>439</v>
      </c>
      <c r="R204" s="10" t="s">
        <v>439</v>
      </c>
      <c r="S204" s="10" t="s">
        <v>439</v>
      </c>
      <c r="T204" s="10" t="s">
        <v>439</v>
      </c>
      <c r="U204" s="10" t="s">
        <v>439</v>
      </c>
      <c r="V204" s="1" t="s">
        <v>439</v>
      </c>
      <c r="W204" s="10" t="s">
        <v>439</v>
      </c>
      <c r="X204" s="119" t="s">
        <v>439</v>
      </c>
      <c r="Y204" s="10" t="s">
        <v>439</v>
      </c>
    </row>
    <row r="205" spans="15:25" x14ac:dyDescent="0.2">
      <c r="O205" s="119" t="s">
        <v>439</v>
      </c>
      <c r="P205" s="16" t="s">
        <v>439</v>
      </c>
      <c r="Q205" s="252" t="s">
        <v>439</v>
      </c>
      <c r="R205" s="10" t="s">
        <v>439</v>
      </c>
      <c r="S205" s="10" t="s">
        <v>439</v>
      </c>
      <c r="T205" s="10" t="s">
        <v>439</v>
      </c>
      <c r="U205" s="10" t="s">
        <v>439</v>
      </c>
      <c r="V205" s="1" t="s">
        <v>439</v>
      </c>
      <c r="W205" s="10" t="s">
        <v>439</v>
      </c>
      <c r="X205" s="119" t="s">
        <v>439</v>
      </c>
      <c r="Y205" s="10" t="s">
        <v>439</v>
      </c>
    </row>
    <row r="206" spans="15:25" x14ac:dyDescent="0.2">
      <c r="O206" s="119" t="s">
        <v>439</v>
      </c>
      <c r="P206" s="16" t="s">
        <v>439</v>
      </c>
      <c r="Q206" s="252" t="s">
        <v>439</v>
      </c>
      <c r="R206" s="10" t="s">
        <v>439</v>
      </c>
      <c r="S206" s="10" t="s">
        <v>439</v>
      </c>
      <c r="T206" s="10" t="s">
        <v>439</v>
      </c>
      <c r="U206" s="10" t="s">
        <v>439</v>
      </c>
      <c r="V206" s="1" t="s">
        <v>439</v>
      </c>
      <c r="W206" s="10" t="s">
        <v>439</v>
      </c>
      <c r="X206" s="119" t="s">
        <v>439</v>
      </c>
      <c r="Y206" s="10" t="s">
        <v>439</v>
      </c>
    </row>
    <row r="207" spans="15:25" x14ac:dyDescent="0.2">
      <c r="O207" s="119" t="s">
        <v>439</v>
      </c>
      <c r="P207" s="16" t="s">
        <v>439</v>
      </c>
      <c r="Q207" s="252" t="s">
        <v>439</v>
      </c>
      <c r="R207" s="10" t="s">
        <v>439</v>
      </c>
      <c r="S207" s="10" t="s">
        <v>439</v>
      </c>
      <c r="T207" s="10" t="s">
        <v>439</v>
      </c>
      <c r="U207" s="10" t="s">
        <v>439</v>
      </c>
      <c r="V207" s="1" t="s">
        <v>439</v>
      </c>
      <c r="W207" s="10" t="s">
        <v>439</v>
      </c>
      <c r="X207" s="119" t="s">
        <v>439</v>
      </c>
      <c r="Y207" s="10" t="s">
        <v>439</v>
      </c>
    </row>
    <row r="208" spans="15:25" x14ac:dyDescent="0.2">
      <c r="O208" s="119" t="s">
        <v>439</v>
      </c>
      <c r="P208" s="16" t="s">
        <v>439</v>
      </c>
      <c r="Q208" s="252" t="s">
        <v>439</v>
      </c>
      <c r="R208" s="10" t="s">
        <v>439</v>
      </c>
      <c r="S208" s="10" t="s">
        <v>439</v>
      </c>
      <c r="T208" s="10" t="s">
        <v>439</v>
      </c>
      <c r="U208" s="10" t="s">
        <v>439</v>
      </c>
      <c r="V208" s="1" t="s">
        <v>439</v>
      </c>
      <c r="W208" s="10" t="s">
        <v>439</v>
      </c>
      <c r="X208" s="119" t="s">
        <v>439</v>
      </c>
      <c r="Y208" s="10" t="s">
        <v>439</v>
      </c>
    </row>
    <row r="209" spans="15:25" x14ac:dyDescent="0.2">
      <c r="O209" s="119" t="s">
        <v>439</v>
      </c>
      <c r="P209" s="16" t="s">
        <v>439</v>
      </c>
      <c r="Q209" s="252" t="s">
        <v>439</v>
      </c>
      <c r="R209" s="10" t="s">
        <v>439</v>
      </c>
      <c r="S209" s="10" t="s">
        <v>439</v>
      </c>
      <c r="T209" s="10" t="s">
        <v>439</v>
      </c>
      <c r="U209" s="10" t="s">
        <v>439</v>
      </c>
      <c r="V209" s="1" t="s">
        <v>439</v>
      </c>
      <c r="W209" s="10" t="s">
        <v>439</v>
      </c>
      <c r="X209" s="119" t="s">
        <v>439</v>
      </c>
      <c r="Y209" s="10" t="s">
        <v>439</v>
      </c>
    </row>
    <row r="210" spans="15:25" x14ac:dyDescent="0.2">
      <c r="O210" s="119" t="s">
        <v>439</v>
      </c>
      <c r="P210" s="16" t="s">
        <v>439</v>
      </c>
      <c r="Q210" s="252" t="s">
        <v>439</v>
      </c>
      <c r="R210" s="10" t="s">
        <v>439</v>
      </c>
      <c r="S210" s="10" t="s">
        <v>439</v>
      </c>
      <c r="T210" s="10" t="s">
        <v>439</v>
      </c>
      <c r="U210" s="10" t="s">
        <v>439</v>
      </c>
      <c r="V210" s="1" t="s">
        <v>439</v>
      </c>
      <c r="W210" s="10" t="s">
        <v>439</v>
      </c>
      <c r="X210" s="119" t="s">
        <v>439</v>
      </c>
      <c r="Y210" s="10" t="s">
        <v>439</v>
      </c>
    </row>
    <row r="211" spans="15:25" x14ac:dyDescent="0.2">
      <c r="O211" s="119" t="s">
        <v>439</v>
      </c>
      <c r="P211" s="16" t="s">
        <v>439</v>
      </c>
      <c r="Q211" s="252" t="s">
        <v>439</v>
      </c>
      <c r="R211" s="10" t="s">
        <v>439</v>
      </c>
      <c r="S211" s="10" t="s">
        <v>439</v>
      </c>
      <c r="T211" s="10" t="s">
        <v>439</v>
      </c>
      <c r="U211" s="10" t="s">
        <v>439</v>
      </c>
      <c r="V211" s="1" t="s">
        <v>439</v>
      </c>
      <c r="W211" s="10" t="s">
        <v>439</v>
      </c>
      <c r="X211" s="119" t="s">
        <v>439</v>
      </c>
      <c r="Y211" s="10" t="s">
        <v>439</v>
      </c>
    </row>
    <row r="212" spans="15:25" x14ac:dyDescent="0.2">
      <c r="O212" s="119" t="s">
        <v>439</v>
      </c>
      <c r="P212" s="16" t="s">
        <v>439</v>
      </c>
      <c r="Q212" s="252" t="s">
        <v>439</v>
      </c>
      <c r="R212" s="10" t="s">
        <v>439</v>
      </c>
      <c r="S212" s="10" t="s">
        <v>439</v>
      </c>
      <c r="T212" s="10" t="s">
        <v>439</v>
      </c>
      <c r="U212" s="10" t="s">
        <v>439</v>
      </c>
      <c r="V212" s="1" t="s">
        <v>439</v>
      </c>
      <c r="W212" s="10" t="s">
        <v>439</v>
      </c>
      <c r="X212" s="119" t="s">
        <v>439</v>
      </c>
      <c r="Y212" s="10" t="s">
        <v>439</v>
      </c>
    </row>
    <row r="213" spans="15:25" x14ac:dyDescent="0.2">
      <c r="O213" s="119" t="s">
        <v>439</v>
      </c>
      <c r="P213" s="16" t="s">
        <v>439</v>
      </c>
      <c r="Q213" s="252" t="s">
        <v>439</v>
      </c>
      <c r="R213" s="10" t="s">
        <v>439</v>
      </c>
      <c r="S213" s="10" t="s">
        <v>439</v>
      </c>
      <c r="T213" s="10" t="s">
        <v>439</v>
      </c>
      <c r="U213" s="10" t="s">
        <v>439</v>
      </c>
      <c r="V213" s="1" t="s">
        <v>439</v>
      </c>
      <c r="W213" s="10" t="s">
        <v>439</v>
      </c>
      <c r="X213" s="119" t="s">
        <v>439</v>
      </c>
      <c r="Y213" s="10" t="s">
        <v>439</v>
      </c>
    </row>
  </sheetData>
  <mergeCells count="14">
    <mergeCell ref="D58:K147"/>
    <mergeCell ref="G40:H40"/>
    <mergeCell ref="D3:K3"/>
    <mergeCell ref="D12:K12"/>
    <mergeCell ref="D20:K20"/>
    <mergeCell ref="E24:K24"/>
    <mergeCell ref="E25:K25"/>
    <mergeCell ref="D35:K35"/>
    <mergeCell ref="E39:K39"/>
    <mergeCell ref="E38:I38"/>
    <mergeCell ref="H5:K5"/>
    <mergeCell ref="E15:K15"/>
    <mergeCell ref="D29:K29"/>
    <mergeCell ref="E31:K31"/>
  </mergeCells>
  <conditionalFormatting sqref="O7:Y212">
    <cfRule type="expression" dxfId="3" priority="2">
      <formula>$O7&lt;&gt;""</formula>
    </cfRule>
  </conditionalFormatting>
  <conditionalFormatting sqref="D58:K147">
    <cfRule type="expression" dxfId="2" priority="1">
      <formula>$D$58&lt;&gt;""</formula>
    </cfRule>
  </conditionalFormatting>
  <dataValidations count="3">
    <dataValidation allowBlank="1" showInputMessage="1" sqref="H22"/>
    <dataValidation type="list" allowBlank="1" showInputMessage="1" showErrorMessage="1" sqref="E37">
      <formula1>PDPSource</formula1>
    </dataValidation>
    <dataValidation type="list" allowBlank="1" showInputMessage="1" showErrorMessage="1" sqref="F56">
      <formula1>ContactMethod</formula1>
    </dataValidation>
  </dataValidations>
  <hyperlinks>
    <hyperlink ref="B2" location="Dashboard!A1" display="Dashboard"/>
    <hyperlink ref="B4" location="'Performance Stats'!A1" display="Performance Analysis"/>
    <hyperlink ref="B6" location="'TD Planner'!A1" display="TD Planner"/>
    <hyperlink ref="B10" location="'Urgent Escalation'!A1" display="Urgent Escalation"/>
    <hyperlink ref="B14" location="'Existing Bonus File'!A1" display="Contact Review File"/>
    <hyperlink ref="B8" location="'Employee Management'!A1" display="Staff Record"/>
    <hyperlink ref="B12" location="PDP!A1" display="PDP"/>
    <hyperlink ref="B16" location="'Meeting Log'!A1" display="Meeting Log"/>
    <hyperlink ref="S7" r:id="rId1" display="Met"/>
    <hyperlink ref="U7" r:id="rId2" display="Open File"/>
    <hyperlink ref="V7" r:id="rId3" display="Open File"/>
    <hyperlink ref="S8" r:id="rId4" display="Met"/>
    <hyperlink ref="U8" r:id="rId5" display="Open File"/>
  </hyperlinks>
  <pageMargins left="0.7" right="0.7" top="0.75" bottom="0.75" header="0.3" footer="0.3"/>
  <pageSetup paperSize="9" orientation="portrait" r:id="rId6"/>
  <drawing r:id="rId7"/>
  <extLst>
    <ext xmlns:x14="http://schemas.microsoft.com/office/spreadsheetml/2009/9/main" uri="{CCE6A557-97BC-4b89-ADB6-D9C93CAAB3DF}">
      <x14:dataValidations xmlns:xm="http://schemas.microsoft.com/office/excel/2006/main" count="5">
        <x14:dataValidation type="list" allowBlank="1" showInputMessage="1">
          <x14:formula1>
            <xm:f>Staffs!$A:$A</xm:f>
          </x14:formula1>
          <xm:sqref>H7 P3</xm:sqref>
        </x14:dataValidation>
        <x14:dataValidation type="list" allowBlank="1" showInputMessage="1" showErrorMessage="1">
          <x14:formula1>
            <xm:f>Configuration!$J$1:$J$2</xm:f>
          </x14:formula1>
          <xm:sqref>H5:K5</xm:sqref>
        </x14:dataValidation>
        <x14:dataValidation type="list" allowBlank="1" showInputMessage="1" showErrorMessage="1">
          <x14:formula1>
            <xm:f>Configuration!$M$1:$M$2</xm:f>
          </x14:formula1>
          <xm:sqref>E14</xm:sqref>
        </x14:dataValidation>
        <x14:dataValidation type="list" allowBlank="1" showInputMessage="1">
          <x14:formula1>
            <xm:f>Configuration!$G$1:$G$3</xm:f>
          </x14:formula1>
          <xm:sqref>E22</xm:sqref>
        </x14:dataValidation>
        <x14:dataValidation type="list" allowBlank="1" showInputMessage="1">
          <x14:formula1>
            <xm:f>TeamLeader!$A:$A</xm:f>
          </x14:formula1>
          <xm:sqref>T3</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Z300"/>
  <sheetViews>
    <sheetView showGridLines="0" workbookViewId="0">
      <selection activeCell="E5" sqref="E5"/>
    </sheetView>
  </sheetViews>
  <sheetFormatPr defaultRowHeight="12.75" x14ac:dyDescent="0.2"/>
  <cols>
    <col min="1" max="1" width="0.5703125" style="246" customWidth="1"/>
    <col min="2" max="2" width="17.42578125" style="246" bestFit="1" customWidth="1"/>
    <col min="3" max="3" width="9.140625" style="1"/>
    <col min="4" max="4" width="25.5703125" style="259" bestFit="1" customWidth="1"/>
    <col min="5" max="5" width="15.140625" style="1" bestFit="1" customWidth="1"/>
    <col min="6" max="6" width="63.140625" style="1" bestFit="1" customWidth="1"/>
    <col min="7" max="7" width="20.140625" style="9" bestFit="1" customWidth="1"/>
    <col min="8" max="8" width="22.28515625" style="1" bestFit="1" customWidth="1"/>
    <col min="9" max="9" width="14.7109375" style="1" customWidth="1"/>
    <col min="10" max="10" width="18.140625" style="1" customWidth="1"/>
    <col min="11" max="11" width="23.42578125" style="119" customWidth="1"/>
    <col min="12" max="12" width="9.140625" style="10"/>
    <col min="13" max="14" width="9.140625" style="1"/>
    <col min="15" max="15" width="22.85546875" style="1" customWidth="1"/>
    <col min="16" max="18" width="9.140625" style="1"/>
    <col min="19" max="19" width="12.42578125" style="1" bestFit="1" customWidth="1"/>
    <col min="20" max="16384" width="9.140625" style="1"/>
  </cols>
  <sheetData>
    <row r="1" spans="1:26" s="127" customFormat="1" ht="36.75" customHeight="1" x14ac:dyDescent="0.2">
      <c r="A1" s="142"/>
      <c r="B1" s="142"/>
      <c r="D1" s="251"/>
      <c r="G1" s="141"/>
      <c r="K1" s="140"/>
      <c r="O1" s="140"/>
      <c r="P1" s="141"/>
      <c r="Y1" s="256">
        <v>29221</v>
      </c>
      <c r="Z1" s="255">
        <v>111111</v>
      </c>
    </row>
    <row r="2" spans="1:26" x14ac:dyDescent="0.2">
      <c r="B2" s="248" t="s">
        <v>119</v>
      </c>
    </row>
    <row r="3" spans="1:26" x14ac:dyDescent="0.2">
      <c r="D3" s="410" t="s">
        <v>378</v>
      </c>
      <c r="E3" s="411"/>
      <c r="F3" s="411"/>
      <c r="G3" s="411"/>
      <c r="H3" s="411"/>
      <c r="I3" s="411"/>
      <c r="J3" s="411"/>
      <c r="K3" s="412"/>
      <c r="N3" s="31" t="s">
        <v>381</v>
      </c>
      <c r="O3" s="276"/>
    </row>
    <row r="4" spans="1:26" x14ac:dyDescent="0.2">
      <c r="B4" s="248" t="s">
        <v>434</v>
      </c>
      <c r="D4" s="271"/>
      <c r="E4" s="2"/>
      <c r="F4" s="2"/>
      <c r="G4" s="267"/>
      <c r="H4" s="2"/>
      <c r="I4" s="2"/>
      <c r="J4" s="2"/>
      <c r="K4" s="312"/>
    </row>
    <row r="5" spans="1:26" x14ac:dyDescent="0.2">
      <c r="D5" s="271" t="s">
        <v>134</v>
      </c>
      <c r="E5" s="82"/>
      <c r="G5" s="9" t="s">
        <v>405</v>
      </c>
      <c r="H5" s="139"/>
      <c r="J5" s="1" t="s">
        <v>391</v>
      </c>
      <c r="K5" s="313"/>
    </row>
    <row r="6" spans="1:26" x14ac:dyDescent="0.2">
      <c r="B6" s="248" t="s">
        <v>435</v>
      </c>
      <c r="D6" s="259" t="s">
        <v>380</v>
      </c>
      <c r="E6" s="409"/>
      <c r="F6" s="409"/>
      <c r="G6" s="409"/>
      <c r="H6" s="409"/>
      <c r="I6" s="409"/>
      <c r="J6" s="31" t="s">
        <v>442</v>
      </c>
      <c r="K6" s="314"/>
    </row>
    <row r="7" spans="1:26" x14ac:dyDescent="0.2">
      <c r="D7" s="259" t="s">
        <v>379</v>
      </c>
      <c r="E7" s="360"/>
      <c r="F7" s="360"/>
      <c r="G7" s="360"/>
      <c r="H7" s="360"/>
      <c r="I7" s="360"/>
      <c r="J7" s="360"/>
      <c r="K7" s="360"/>
    </row>
    <row r="8" spans="1:26" ht="15" x14ac:dyDescent="0.2">
      <c r="B8" s="248" t="s">
        <v>441</v>
      </c>
      <c r="D8" s="259" t="s">
        <v>140</v>
      </c>
      <c r="E8" s="6"/>
      <c r="F8" s="261" t="s">
        <v>381</v>
      </c>
      <c r="G8" s="414"/>
      <c r="H8" s="414"/>
      <c r="I8" s="2"/>
      <c r="J8" s="2"/>
      <c r="K8" s="312"/>
    </row>
    <row r="9" spans="1:26" ht="13.5" thickBot="1" x14ac:dyDescent="0.25">
      <c r="D9" s="272"/>
      <c r="E9" s="109"/>
      <c r="F9" s="109"/>
      <c r="G9" s="268"/>
      <c r="H9" s="109"/>
      <c r="I9" s="109"/>
      <c r="J9" s="109"/>
      <c r="K9" s="315"/>
    </row>
    <row r="10" spans="1:26" x14ac:dyDescent="0.2">
      <c r="B10" s="248" t="s">
        <v>436</v>
      </c>
      <c r="D10" s="271"/>
      <c r="E10" s="2"/>
      <c r="F10" s="2"/>
      <c r="G10" s="267"/>
      <c r="H10" s="2"/>
      <c r="I10" s="2"/>
      <c r="J10" s="2"/>
      <c r="K10" s="312"/>
    </row>
    <row r="11" spans="1:26" x14ac:dyDescent="0.2">
      <c r="D11" s="271"/>
      <c r="E11" s="12"/>
      <c r="H11" s="12"/>
      <c r="K11" s="316"/>
    </row>
    <row r="12" spans="1:26" x14ac:dyDescent="0.2">
      <c r="B12" s="248" t="s">
        <v>378</v>
      </c>
      <c r="E12" s="413"/>
      <c r="F12" s="413"/>
      <c r="G12" s="413"/>
      <c r="H12" s="413"/>
      <c r="I12" s="413"/>
      <c r="J12" s="10"/>
      <c r="K12" s="316"/>
    </row>
    <row r="13" spans="1:26" x14ac:dyDescent="0.2">
      <c r="D13" s="273" t="s">
        <v>134</v>
      </c>
      <c r="E13" s="19"/>
      <c r="H13" s="273" t="s">
        <v>2</v>
      </c>
      <c r="I13" s="80"/>
      <c r="K13" s="316"/>
    </row>
    <row r="14" spans="1:26" x14ac:dyDescent="0.2">
      <c r="B14" s="248" t="s">
        <v>437</v>
      </c>
      <c r="K14" s="312"/>
    </row>
    <row r="15" spans="1:26" x14ac:dyDescent="0.2">
      <c r="D15" s="273" t="s">
        <v>444</v>
      </c>
      <c r="E15" s="16"/>
      <c r="F15" s="10"/>
      <c r="G15" s="16"/>
      <c r="H15" s="10"/>
      <c r="I15" s="10"/>
      <c r="J15" s="10"/>
      <c r="K15" s="312"/>
    </row>
    <row r="16" spans="1:26" x14ac:dyDescent="0.2">
      <c r="B16" s="248" t="s">
        <v>617</v>
      </c>
      <c r="D16" s="274" t="s">
        <v>387</v>
      </c>
      <c r="E16" s="200" t="s">
        <v>123</v>
      </c>
      <c r="F16" s="200" t="s">
        <v>388</v>
      </c>
      <c r="G16" s="269" t="s">
        <v>389</v>
      </c>
      <c r="H16" s="200" t="s">
        <v>390</v>
      </c>
      <c r="I16" s="200" t="s">
        <v>391</v>
      </c>
      <c r="J16" s="200" t="s">
        <v>443</v>
      </c>
      <c r="K16" s="311" t="s">
        <v>85</v>
      </c>
      <c r="L16" s="274" t="s">
        <v>86</v>
      </c>
    </row>
    <row r="17" spans="4:10" ht="15" x14ac:dyDescent="0.2">
      <c r="D17" s="254"/>
      <c r="E17" s="12"/>
      <c r="F17" s="12"/>
      <c r="G17" s="23"/>
      <c r="H17" s="270"/>
      <c r="I17" s="12"/>
      <c r="J17" s="12"/>
    </row>
    <row r="18" spans="4:10" ht="15" x14ac:dyDescent="0.2">
      <c r="D18" s="254"/>
      <c r="E18" s="12"/>
      <c r="F18" s="12"/>
      <c r="G18" s="23"/>
      <c r="H18" s="270"/>
      <c r="I18" s="12"/>
      <c r="J18" s="12"/>
    </row>
    <row r="19" spans="4:10" ht="15" x14ac:dyDescent="0.2">
      <c r="D19" s="254" t="s">
        <v>439</v>
      </c>
      <c r="E19" s="12" t="s">
        <v>439</v>
      </c>
      <c r="F19" s="12" t="s">
        <v>439</v>
      </c>
      <c r="G19" s="23" t="s">
        <v>439</v>
      </c>
      <c r="H19" s="270" t="s">
        <v>439</v>
      </c>
      <c r="I19" s="12" t="s">
        <v>439</v>
      </c>
      <c r="J19" s="12" t="s">
        <v>439</v>
      </c>
    </row>
    <row r="20" spans="4:10" x14ac:dyDescent="0.2">
      <c r="D20" s="254" t="s">
        <v>439</v>
      </c>
      <c r="E20" s="12" t="s">
        <v>439</v>
      </c>
      <c r="F20" s="12" t="s">
        <v>439</v>
      </c>
      <c r="G20" s="23" t="s">
        <v>439</v>
      </c>
      <c r="H20" s="12" t="s">
        <v>439</v>
      </c>
      <c r="I20" s="12" t="s">
        <v>439</v>
      </c>
      <c r="J20" s="12" t="s">
        <v>439</v>
      </c>
    </row>
    <row r="21" spans="4:10" x14ac:dyDescent="0.2">
      <c r="D21" s="254" t="s">
        <v>439</v>
      </c>
      <c r="E21" s="12" t="s">
        <v>439</v>
      </c>
      <c r="F21" s="12" t="s">
        <v>439</v>
      </c>
      <c r="G21" s="23" t="s">
        <v>439</v>
      </c>
      <c r="H21" s="12" t="s">
        <v>439</v>
      </c>
      <c r="I21" s="12" t="s">
        <v>439</v>
      </c>
      <c r="J21" s="12" t="s">
        <v>439</v>
      </c>
    </row>
    <row r="22" spans="4:10" ht="15" x14ac:dyDescent="0.2">
      <c r="D22" s="254" t="s">
        <v>439</v>
      </c>
      <c r="E22" s="23" t="s">
        <v>439</v>
      </c>
      <c r="F22" s="12" t="s">
        <v>439</v>
      </c>
      <c r="G22" s="23" t="s">
        <v>439</v>
      </c>
      <c r="H22" s="270" t="s">
        <v>439</v>
      </c>
      <c r="I22" s="12" t="s">
        <v>439</v>
      </c>
      <c r="J22" s="12" t="s">
        <v>439</v>
      </c>
    </row>
    <row r="23" spans="4:10" ht="15" x14ac:dyDescent="0.2">
      <c r="D23" s="254" t="s">
        <v>439</v>
      </c>
      <c r="E23" s="23" t="s">
        <v>439</v>
      </c>
      <c r="F23" s="12" t="s">
        <v>439</v>
      </c>
      <c r="G23" s="23" t="s">
        <v>439</v>
      </c>
      <c r="H23" s="270" t="s">
        <v>439</v>
      </c>
      <c r="I23" s="12" t="s">
        <v>439</v>
      </c>
      <c r="J23" s="270" t="s">
        <v>439</v>
      </c>
    </row>
    <row r="24" spans="4:10" ht="15" x14ac:dyDescent="0.2">
      <c r="D24" s="275" t="s">
        <v>439</v>
      </c>
      <c r="E24" s="23" t="s">
        <v>439</v>
      </c>
      <c r="F24" s="12" t="s">
        <v>439</v>
      </c>
      <c r="G24" s="23" t="s">
        <v>439</v>
      </c>
      <c r="H24" s="270" t="s">
        <v>439</v>
      </c>
      <c r="I24" s="12" t="s">
        <v>439</v>
      </c>
      <c r="J24" s="12" t="s">
        <v>439</v>
      </c>
    </row>
    <row r="25" spans="4:10" x14ac:dyDescent="0.2">
      <c r="D25" s="254" t="s">
        <v>439</v>
      </c>
      <c r="E25" s="12" t="s">
        <v>439</v>
      </c>
      <c r="F25" s="12" t="s">
        <v>439</v>
      </c>
      <c r="G25" s="23" t="s">
        <v>439</v>
      </c>
      <c r="H25" s="12" t="s">
        <v>439</v>
      </c>
      <c r="I25" s="12" t="s">
        <v>439</v>
      </c>
      <c r="J25" s="12" t="s">
        <v>439</v>
      </c>
    </row>
    <row r="26" spans="4:10" x14ac:dyDescent="0.2">
      <c r="D26" s="254" t="s">
        <v>439</v>
      </c>
      <c r="E26" s="12" t="s">
        <v>439</v>
      </c>
      <c r="F26" s="12" t="s">
        <v>439</v>
      </c>
      <c r="G26" s="23" t="s">
        <v>439</v>
      </c>
      <c r="H26" s="12" t="s">
        <v>439</v>
      </c>
      <c r="I26" s="12" t="s">
        <v>439</v>
      </c>
      <c r="J26" s="12" t="s">
        <v>439</v>
      </c>
    </row>
    <row r="27" spans="4:10" x14ac:dyDescent="0.2">
      <c r="D27" s="254" t="s">
        <v>439</v>
      </c>
      <c r="E27" s="12" t="s">
        <v>439</v>
      </c>
      <c r="F27" s="12" t="s">
        <v>439</v>
      </c>
      <c r="G27" s="23" t="s">
        <v>439</v>
      </c>
      <c r="H27" s="12" t="s">
        <v>439</v>
      </c>
      <c r="I27" s="12" t="s">
        <v>439</v>
      </c>
      <c r="J27" s="12" t="s">
        <v>439</v>
      </c>
    </row>
    <row r="28" spans="4:10" x14ac:dyDescent="0.2">
      <c r="D28" s="254" t="s">
        <v>439</v>
      </c>
      <c r="E28" s="12" t="s">
        <v>439</v>
      </c>
      <c r="F28" s="12" t="s">
        <v>439</v>
      </c>
      <c r="G28" s="23" t="s">
        <v>439</v>
      </c>
      <c r="H28" s="12" t="s">
        <v>439</v>
      </c>
      <c r="I28" s="12" t="s">
        <v>439</v>
      </c>
      <c r="J28" s="12" t="s">
        <v>439</v>
      </c>
    </row>
    <row r="29" spans="4:10" x14ac:dyDescent="0.2">
      <c r="D29" s="254" t="s">
        <v>439</v>
      </c>
      <c r="E29" s="12" t="s">
        <v>439</v>
      </c>
      <c r="F29" s="12" t="s">
        <v>439</v>
      </c>
      <c r="G29" s="23" t="s">
        <v>439</v>
      </c>
      <c r="H29" s="12" t="s">
        <v>439</v>
      </c>
      <c r="I29" s="12" t="s">
        <v>439</v>
      </c>
      <c r="J29" s="12" t="s">
        <v>439</v>
      </c>
    </row>
    <row r="30" spans="4:10" x14ac:dyDescent="0.2">
      <c r="D30" s="254" t="s">
        <v>439</v>
      </c>
      <c r="E30" s="12" t="s">
        <v>439</v>
      </c>
      <c r="F30" s="12" t="s">
        <v>439</v>
      </c>
      <c r="G30" s="23" t="s">
        <v>439</v>
      </c>
      <c r="H30" s="12" t="s">
        <v>439</v>
      </c>
      <c r="I30" s="12" t="s">
        <v>439</v>
      </c>
      <c r="J30" s="12" t="s">
        <v>439</v>
      </c>
    </row>
    <row r="31" spans="4:10" x14ac:dyDescent="0.2">
      <c r="D31" s="254" t="s">
        <v>439</v>
      </c>
      <c r="E31" s="12" t="s">
        <v>439</v>
      </c>
      <c r="F31" s="12" t="s">
        <v>439</v>
      </c>
      <c r="G31" s="23" t="s">
        <v>439</v>
      </c>
      <c r="H31" s="12" t="s">
        <v>439</v>
      </c>
      <c r="I31" s="12" t="s">
        <v>439</v>
      </c>
      <c r="J31" s="12" t="s">
        <v>439</v>
      </c>
    </row>
    <row r="32" spans="4:10" x14ac:dyDescent="0.2">
      <c r="D32" s="254" t="s">
        <v>439</v>
      </c>
      <c r="E32" s="12" t="s">
        <v>439</v>
      </c>
      <c r="F32" s="12" t="s">
        <v>439</v>
      </c>
      <c r="G32" s="23" t="s">
        <v>439</v>
      </c>
      <c r="H32" s="12" t="s">
        <v>439</v>
      </c>
      <c r="I32" s="12" t="s">
        <v>439</v>
      </c>
      <c r="J32" s="12" t="s">
        <v>439</v>
      </c>
    </row>
    <row r="33" spans="4:10" x14ac:dyDescent="0.2">
      <c r="D33" s="254" t="s">
        <v>439</v>
      </c>
      <c r="E33" s="12" t="s">
        <v>439</v>
      </c>
      <c r="F33" s="12" t="s">
        <v>439</v>
      </c>
      <c r="G33" s="23" t="s">
        <v>439</v>
      </c>
      <c r="H33" s="12" t="s">
        <v>439</v>
      </c>
      <c r="I33" s="12" t="s">
        <v>439</v>
      </c>
      <c r="J33" s="12" t="s">
        <v>439</v>
      </c>
    </row>
    <row r="34" spans="4:10" x14ac:dyDescent="0.2">
      <c r="D34" s="254" t="s">
        <v>439</v>
      </c>
      <c r="E34" s="12" t="s">
        <v>439</v>
      </c>
      <c r="F34" s="12" t="s">
        <v>439</v>
      </c>
      <c r="G34" s="23" t="s">
        <v>439</v>
      </c>
      <c r="H34" s="12" t="s">
        <v>439</v>
      </c>
      <c r="I34" s="12" t="s">
        <v>439</v>
      </c>
      <c r="J34" s="12" t="s">
        <v>439</v>
      </c>
    </row>
    <row r="35" spans="4:10" x14ac:dyDescent="0.2">
      <c r="D35" s="254" t="s">
        <v>439</v>
      </c>
      <c r="E35" s="12" t="s">
        <v>439</v>
      </c>
      <c r="F35" s="12" t="s">
        <v>439</v>
      </c>
      <c r="G35" s="23" t="s">
        <v>439</v>
      </c>
      <c r="H35" s="12" t="s">
        <v>439</v>
      </c>
      <c r="I35" s="12" t="s">
        <v>439</v>
      </c>
      <c r="J35" s="12" t="s">
        <v>439</v>
      </c>
    </row>
    <row r="36" spans="4:10" x14ac:dyDescent="0.2">
      <c r="D36" s="254" t="s">
        <v>439</v>
      </c>
      <c r="E36" s="12" t="s">
        <v>439</v>
      </c>
      <c r="F36" s="12" t="s">
        <v>439</v>
      </c>
      <c r="G36" s="23" t="s">
        <v>439</v>
      </c>
      <c r="H36" s="12" t="s">
        <v>439</v>
      </c>
      <c r="I36" s="12" t="s">
        <v>439</v>
      </c>
      <c r="J36" s="12" t="s">
        <v>439</v>
      </c>
    </row>
    <row r="37" spans="4:10" x14ac:dyDescent="0.2">
      <c r="D37" s="254" t="s">
        <v>439</v>
      </c>
      <c r="E37" s="12" t="s">
        <v>439</v>
      </c>
      <c r="F37" s="12" t="s">
        <v>439</v>
      </c>
      <c r="G37" s="23" t="s">
        <v>439</v>
      </c>
      <c r="H37" s="12" t="s">
        <v>439</v>
      </c>
      <c r="I37" s="12" t="s">
        <v>439</v>
      </c>
      <c r="J37" s="12" t="s">
        <v>439</v>
      </c>
    </row>
    <row r="38" spans="4:10" x14ac:dyDescent="0.2">
      <c r="D38" s="254" t="s">
        <v>439</v>
      </c>
      <c r="E38" s="12" t="s">
        <v>439</v>
      </c>
      <c r="F38" s="12" t="s">
        <v>439</v>
      </c>
      <c r="G38" s="23" t="s">
        <v>439</v>
      </c>
      <c r="H38" s="12" t="s">
        <v>439</v>
      </c>
      <c r="I38" s="12" t="s">
        <v>439</v>
      </c>
      <c r="J38" s="12" t="s">
        <v>439</v>
      </c>
    </row>
    <row r="39" spans="4:10" x14ac:dyDescent="0.2">
      <c r="D39" s="254" t="s">
        <v>439</v>
      </c>
      <c r="E39" s="12" t="s">
        <v>439</v>
      </c>
      <c r="F39" s="12" t="s">
        <v>439</v>
      </c>
      <c r="G39" s="23" t="s">
        <v>439</v>
      </c>
      <c r="H39" s="12" t="s">
        <v>439</v>
      </c>
      <c r="I39" s="12" t="s">
        <v>439</v>
      </c>
      <c r="J39" s="12" t="s">
        <v>439</v>
      </c>
    </row>
    <row r="40" spans="4:10" x14ac:dyDescent="0.2">
      <c r="D40" s="254" t="s">
        <v>439</v>
      </c>
      <c r="E40" s="12" t="s">
        <v>439</v>
      </c>
      <c r="F40" s="12" t="s">
        <v>439</v>
      </c>
      <c r="G40" s="23" t="s">
        <v>439</v>
      </c>
      <c r="H40" s="12" t="s">
        <v>439</v>
      </c>
      <c r="I40" s="12" t="s">
        <v>439</v>
      </c>
      <c r="J40" s="12" t="s">
        <v>439</v>
      </c>
    </row>
    <row r="41" spans="4:10" x14ac:dyDescent="0.2">
      <c r="D41" s="254" t="s">
        <v>439</v>
      </c>
      <c r="E41" s="12" t="s">
        <v>439</v>
      </c>
      <c r="F41" s="12" t="s">
        <v>439</v>
      </c>
      <c r="G41" s="23" t="s">
        <v>439</v>
      </c>
      <c r="H41" s="12" t="s">
        <v>439</v>
      </c>
      <c r="I41" s="12" t="s">
        <v>439</v>
      </c>
      <c r="J41" s="12" t="s">
        <v>439</v>
      </c>
    </row>
    <row r="42" spans="4:10" x14ac:dyDescent="0.2">
      <c r="D42" s="254" t="s">
        <v>439</v>
      </c>
      <c r="E42" s="12" t="s">
        <v>439</v>
      </c>
      <c r="F42" s="12" t="s">
        <v>439</v>
      </c>
      <c r="G42" s="23" t="s">
        <v>439</v>
      </c>
      <c r="H42" s="12" t="s">
        <v>439</v>
      </c>
      <c r="I42" s="12" t="s">
        <v>439</v>
      </c>
      <c r="J42" s="12" t="s">
        <v>439</v>
      </c>
    </row>
    <row r="43" spans="4:10" x14ac:dyDescent="0.2">
      <c r="D43" s="254" t="s">
        <v>439</v>
      </c>
      <c r="E43" s="12" t="s">
        <v>439</v>
      </c>
      <c r="F43" s="12" t="s">
        <v>439</v>
      </c>
      <c r="G43" s="23" t="s">
        <v>439</v>
      </c>
      <c r="H43" s="12" t="s">
        <v>439</v>
      </c>
      <c r="I43" s="12" t="s">
        <v>439</v>
      </c>
      <c r="J43" s="12" t="s">
        <v>439</v>
      </c>
    </row>
    <row r="44" spans="4:10" x14ac:dyDescent="0.2">
      <c r="D44" s="254" t="s">
        <v>439</v>
      </c>
      <c r="E44" s="12" t="s">
        <v>439</v>
      </c>
      <c r="F44" s="12" t="s">
        <v>439</v>
      </c>
      <c r="G44" s="23" t="s">
        <v>439</v>
      </c>
      <c r="H44" s="12" t="s">
        <v>439</v>
      </c>
      <c r="I44" s="12" t="s">
        <v>439</v>
      </c>
      <c r="J44" s="12" t="s">
        <v>439</v>
      </c>
    </row>
    <row r="45" spans="4:10" x14ac:dyDescent="0.2">
      <c r="D45" s="254" t="s">
        <v>439</v>
      </c>
      <c r="E45" s="12" t="s">
        <v>439</v>
      </c>
      <c r="F45" s="12" t="s">
        <v>439</v>
      </c>
      <c r="G45" s="23" t="s">
        <v>439</v>
      </c>
      <c r="H45" s="12" t="s">
        <v>439</v>
      </c>
      <c r="I45" s="12" t="s">
        <v>439</v>
      </c>
      <c r="J45" s="12" t="s">
        <v>439</v>
      </c>
    </row>
    <row r="46" spans="4:10" x14ac:dyDescent="0.2">
      <c r="D46" s="254" t="s">
        <v>439</v>
      </c>
      <c r="E46" s="12" t="s">
        <v>439</v>
      </c>
      <c r="F46" s="12" t="s">
        <v>439</v>
      </c>
      <c r="G46" s="23" t="s">
        <v>439</v>
      </c>
      <c r="H46" s="12" t="s">
        <v>439</v>
      </c>
      <c r="I46" s="12" t="s">
        <v>439</v>
      </c>
      <c r="J46" s="12" t="s">
        <v>439</v>
      </c>
    </row>
    <row r="47" spans="4:10" x14ac:dyDescent="0.2">
      <c r="D47" s="254" t="s">
        <v>439</v>
      </c>
      <c r="E47" s="12" t="s">
        <v>439</v>
      </c>
      <c r="F47" s="12" t="s">
        <v>439</v>
      </c>
      <c r="G47" s="23" t="s">
        <v>439</v>
      </c>
      <c r="H47" s="12" t="s">
        <v>439</v>
      </c>
      <c r="I47" s="12" t="s">
        <v>439</v>
      </c>
      <c r="J47" s="12" t="s">
        <v>439</v>
      </c>
    </row>
    <row r="48" spans="4:10" x14ac:dyDescent="0.2">
      <c r="D48" s="254" t="s">
        <v>439</v>
      </c>
      <c r="E48" s="12" t="s">
        <v>439</v>
      </c>
      <c r="F48" s="12" t="s">
        <v>439</v>
      </c>
      <c r="G48" s="23" t="s">
        <v>439</v>
      </c>
      <c r="H48" s="12" t="s">
        <v>439</v>
      </c>
      <c r="I48" s="12" t="s">
        <v>439</v>
      </c>
      <c r="J48" s="12" t="s">
        <v>439</v>
      </c>
    </row>
    <row r="49" spans="4:10" x14ac:dyDescent="0.2">
      <c r="D49" s="254" t="s">
        <v>439</v>
      </c>
      <c r="E49" s="12" t="s">
        <v>439</v>
      </c>
      <c r="F49" s="12" t="s">
        <v>439</v>
      </c>
      <c r="G49" s="23" t="s">
        <v>439</v>
      </c>
      <c r="H49" s="12" t="s">
        <v>439</v>
      </c>
      <c r="I49" s="12" t="s">
        <v>439</v>
      </c>
      <c r="J49" s="12" t="s">
        <v>439</v>
      </c>
    </row>
    <row r="50" spans="4:10" x14ac:dyDescent="0.2">
      <c r="D50" s="254" t="s">
        <v>439</v>
      </c>
      <c r="E50" s="12" t="s">
        <v>439</v>
      </c>
      <c r="F50" s="12" t="s">
        <v>439</v>
      </c>
      <c r="G50" s="23" t="s">
        <v>439</v>
      </c>
      <c r="H50" s="12" t="s">
        <v>439</v>
      </c>
      <c r="I50" s="12" t="s">
        <v>439</v>
      </c>
      <c r="J50" s="12" t="s">
        <v>439</v>
      </c>
    </row>
    <row r="51" spans="4:10" x14ac:dyDescent="0.2">
      <c r="D51" s="254" t="s">
        <v>439</v>
      </c>
      <c r="E51" s="12" t="s">
        <v>439</v>
      </c>
      <c r="F51" s="12" t="s">
        <v>439</v>
      </c>
      <c r="G51" s="23" t="s">
        <v>439</v>
      </c>
      <c r="H51" s="12" t="s">
        <v>439</v>
      </c>
      <c r="I51" s="12" t="s">
        <v>439</v>
      </c>
      <c r="J51" s="12" t="s">
        <v>439</v>
      </c>
    </row>
    <row r="52" spans="4:10" x14ac:dyDescent="0.2">
      <c r="D52" s="259" t="s">
        <v>439</v>
      </c>
      <c r="E52" s="1" t="s">
        <v>439</v>
      </c>
      <c r="F52" s="1" t="s">
        <v>439</v>
      </c>
      <c r="G52" s="9" t="s">
        <v>439</v>
      </c>
      <c r="H52" s="1" t="s">
        <v>439</v>
      </c>
      <c r="I52" s="1" t="s">
        <v>439</v>
      </c>
      <c r="J52" s="1" t="s">
        <v>439</v>
      </c>
    </row>
    <row r="53" spans="4:10" x14ac:dyDescent="0.2">
      <c r="D53" s="259" t="s">
        <v>439</v>
      </c>
      <c r="E53" s="1" t="s">
        <v>439</v>
      </c>
      <c r="F53" s="1" t="s">
        <v>439</v>
      </c>
      <c r="G53" s="9" t="s">
        <v>439</v>
      </c>
      <c r="H53" s="1" t="s">
        <v>439</v>
      </c>
      <c r="I53" s="1" t="s">
        <v>439</v>
      </c>
      <c r="J53" s="1" t="s">
        <v>439</v>
      </c>
    </row>
    <row r="54" spans="4:10" x14ac:dyDescent="0.2">
      <c r="D54" s="259" t="s">
        <v>439</v>
      </c>
      <c r="E54" s="1" t="s">
        <v>439</v>
      </c>
      <c r="F54" s="1" t="s">
        <v>439</v>
      </c>
      <c r="G54" s="9" t="s">
        <v>439</v>
      </c>
      <c r="H54" s="1" t="s">
        <v>439</v>
      </c>
      <c r="I54" s="1" t="s">
        <v>439</v>
      </c>
      <c r="J54" s="1" t="s">
        <v>439</v>
      </c>
    </row>
    <row r="55" spans="4:10" x14ac:dyDescent="0.2">
      <c r="D55" s="259" t="s">
        <v>439</v>
      </c>
      <c r="E55" s="1" t="s">
        <v>439</v>
      </c>
      <c r="F55" s="1" t="s">
        <v>439</v>
      </c>
      <c r="G55" s="9" t="s">
        <v>439</v>
      </c>
      <c r="H55" s="1" t="s">
        <v>439</v>
      </c>
      <c r="I55" s="1" t="s">
        <v>439</v>
      </c>
      <c r="J55" s="1" t="s">
        <v>439</v>
      </c>
    </row>
    <row r="56" spans="4:10" x14ac:dyDescent="0.2">
      <c r="D56" s="259" t="s">
        <v>439</v>
      </c>
      <c r="E56" s="1" t="s">
        <v>439</v>
      </c>
      <c r="F56" s="1" t="s">
        <v>439</v>
      </c>
      <c r="G56" s="9" t="s">
        <v>439</v>
      </c>
      <c r="H56" s="1" t="s">
        <v>439</v>
      </c>
      <c r="I56" s="1" t="s">
        <v>439</v>
      </c>
      <c r="J56" s="1" t="s">
        <v>439</v>
      </c>
    </row>
    <row r="57" spans="4:10" x14ac:dyDescent="0.2">
      <c r="D57" s="259" t="s">
        <v>439</v>
      </c>
      <c r="E57" s="1" t="s">
        <v>439</v>
      </c>
      <c r="F57" s="1" t="s">
        <v>439</v>
      </c>
      <c r="G57" s="9" t="s">
        <v>439</v>
      </c>
      <c r="H57" s="1" t="s">
        <v>439</v>
      </c>
      <c r="I57" s="1" t="s">
        <v>439</v>
      </c>
      <c r="J57" s="1" t="s">
        <v>439</v>
      </c>
    </row>
    <row r="58" spans="4:10" x14ac:dyDescent="0.2">
      <c r="D58" s="259" t="s">
        <v>439</v>
      </c>
      <c r="E58" s="1" t="s">
        <v>439</v>
      </c>
      <c r="F58" s="1" t="s">
        <v>439</v>
      </c>
      <c r="G58" s="9" t="s">
        <v>439</v>
      </c>
      <c r="H58" s="1" t="s">
        <v>439</v>
      </c>
      <c r="I58" s="1" t="s">
        <v>439</v>
      </c>
      <c r="J58" s="1" t="s">
        <v>439</v>
      </c>
    </row>
    <row r="59" spans="4:10" x14ac:dyDescent="0.2">
      <c r="D59" s="259" t="s">
        <v>439</v>
      </c>
      <c r="E59" s="1" t="s">
        <v>439</v>
      </c>
      <c r="F59" s="1" t="s">
        <v>439</v>
      </c>
      <c r="G59" s="9" t="s">
        <v>439</v>
      </c>
      <c r="H59" s="1" t="s">
        <v>439</v>
      </c>
      <c r="I59" s="1" t="s">
        <v>439</v>
      </c>
      <c r="J59" s="1" t="s">
        <v>439</v>
      </c>
    </row>
    <row r="60" spans="4:10" x14ac:dyDescent="0.2">
      <c r="D60" s="259" t="s">
        <v>439</v>
      </c>
      <c r="E60" s="1" t="s">
        <v>439</v>
      </c>
      <c r="F60" s="1" t="s">
        <v>439</v>
      </c>
      <c r="G60" s="9" t="s">
        <v>439</v>
      </c>
      <c r="H60" s="1" t="s">
        <v>439</v>
      </c>
      <c r="I60" s="1" t="s">
        <v>439</v>
      </c>
      <c r="J60" s="1" t="s">
        <v>439</v>
      </c>
    </row>
    <row r="61" spans="4:10" x14ac:dyDescent="0.2">
      <c r="D61" s="259" t="s">
        <v>439</v>
      </c>
      <c r="E61" s="1" t="s">
        <v>439</v>
      </c>
      <c r="F61" s="1" t="s">
        <v>439</v>
      </c>
      <c r="G61" s="9" t="s">
        <v>439</v>
      </c>
      <c r="H61" s="1" t="s">
        <v>439</v>
      </c>
      <c r="I61" s="1" t="s">
        <v>439</v>
      </c>
      <c r="J61" s="1" t="s">
        <v>439</v>
      </c>
    </row>
    <row r="62" spans="4:10" x14ac:dyDescent="0.2">
      <c r="D62" s="259" t="s">
        <v>439</v>
      </c>
      <c r="E62" s="1" t="s">
        <v>439</v>
      </c>
      <c r="F62" s="1" t="s">
        <v>439</v>
      </c>
      <c r="G62" s="9" t="s">
        <v>439</v>
      </c>
      <c r="H62" s="1" t="s">
        <v>439</v>
      </c>
      <c r="I62" s="1" t="s">
        <v>439</v>
      </c>
      <c r="J62" s="1" t="s">
        <v>439</v>
      </c>
    </row>
    <row r="63" spans="4:10" x14ac:dyDescent="0.2">
      <c r="D63" s="259" t="s">
        <v>439</v>
      </c>
      <c r="E63" s="1" t="s">
        <v>439</v>
      </c>
      <c r="F63" s="1" t="s">
        <v>439</v>
      </c>
      <c r="G63" s="9" t="s">
        <v>439</v>
      </c>
      <c r="H63" s="1" t="s">
        <v>439</v>
      </c>
      <c r="I63" s="1" t="s">
        <v>439</v>
      </c>
      <c r="J63" s="1" t="s">
        <v>439</v>
      </c>
    </row>
    <row r="64" spans="4:10" x14ac:dyDescent="0.2">
      <c r="D64" s="259" t="s">
        <v>439</v>
      </c>
      <c r="E64" s="1" t="s">
        <v>439</v>
      </c>
      <c r="F64" s="1" t="s">
        <v>439</v>
      </c>
      <c r="G64" s="9" t="s">
        <v>439</v>
      </c>
      <c r="H64" s="1" t="s">
        <v>439</v>
      </c>
      <c r="I64" s="1" t="s">
        <v>439</v>
      </c>
      <c r="J64" s="1" t="s">
        <v>439</v>
      </c>
    </row>
    <row r="65" spans="4:10" x14ac:dyDescent="0.2">
      <c r="D65" s="259" t="s">
        <v>439</v>
      </c>
      <c r="E65" s="1" t="s">
        <v>439</v>
      </c>
      <c r="F65" s="1" t="s">
        <v>439</v>
      </c>
      <c r="G65" s="9" t="s">
        <v>439</v>
      </c>
      <c r="H65" s="1" t="s">
        <v>439</v>
      </c>
      <c r="I65" s="1" t="s">
        <v>439</v>
      </c>
      <c r="J65" s="1" t="s">
        <v>439</v>
      </c>
    </row>
    <row r="66" spans="4:10" x14ac:dyDescent="0.2">
      <c r="D66" s="259" t="s">
        <v>439</v>
      </c>
      <c r="E66" s="1" t="s">
        <v>439</v>
      </c>
      <c r="F66" s="1" t="s">
        <v>439</v>
      </c>
      <c r="G66" s="9" t="s">
        <v>439</v>
      </c>
      <c r="H66" s="1" t="s">
        <v>439</v>
      </c>
      <c r="I66" s="1" t="s">
        <v>439</v>
      </c>
      <c r="J66" s="1" t="s">
        <v>439</v>
      </c>
    </row>
    <row r="67" spans="4:10" x14ac:dyDescent="0.2">
      <c r="D67" s="259" t="s">
        <v>439</v>
      </c>
      <c r="E67" s="1" t="s">
        <v>439</v>
      </c>
      <c r="F67" s="1" t="s">
        <v>439</v>
      </c>
      <c r="G67" s="9" t="s">
        <v>439</v>
      </c>
      <c r="H67" s="1" t="s">
        <v>439</v>
      </c>
      <c r="I67" s="1" t="s">
        <v>439</v>
      </c>
      <c r="J67" s="1" t="s">
        <v>439</v>
      </c>
    </row>
    <row r="68" spans="4:10" x14ac:dyDescent="0.2">
      <c r="D68" s="259" t="s">
        <v>439</v>
      </c>
      <c r="E68" s="1" t="s">
        <v>439</v>
      </c>
      <c r="F68" s="1" t="s">
        <v>439</v>
      </c>
      <c r="G68" s="9" t="s">
        <v>439</v>
      </c>
      <c r="H68" s="1" t="s">
        <v>439</v>
      </c>
      <c r="I68" s="1" t="s">
        <v>439</v>
      </c>
      <c r="J68" s="1" t="s">
        <v>439</v>
      </c>
    </row>
    <row r="69" spans="4:10" x14ac:dyDescent="0.2">
      <c r="D69" s="259" t="s">
        <v>439</v>
      </c>
      <c r="E69" s="1" t="s">
        <v>439</v>
      </c>
      <c r="F69" s="1" t="s">
        <v>439</v>
      </c>
      <c r="G69" s="9" t="s">
        <v>439</v>
      </c>
      <c r="H69" s="1" t="s">
        <v>439</v>
      </c>
      <c r="I69" s="1" t="s">
        <v>439</v>
      </c>
      <c r="J69" s="1" t="s">
        <v>439</v>
      </c>
    </row>
    <row r="70" spans="4:10" x14ac:dyDescent="0.2">
      <c r="D70" s="259" t="s">
        <v>439</v>
      </c>
      <c r="E70" s="1" t="s">
        <v>439</v>
      </c>
      <c r="F70" s="1" t="s">
        <v>439</v>
      </c>
      <c r="G70" s="9" t="s">
        <v>439</v>
      </c>
      <c r="H70" s="1" t="s">
        <v>439</v>
      </c>
      <c r="I70" s="1" t="s">
        <v>439</v>
      </c>
      <c r="J70" s="1" t="s">
        <v>439</v>
      </c>
    </row>
    <row r="71" spans="4:10" x14ac:dyDescent="0.2">
      <c r="D71" s="259" t="s">
        <v>439</v>
      </c>
      <c r="E71" s="1" t="s">
        <v>439</v>
      </c>
      <c r="F71" s="1" t="s">
        <v>439</v>
      </c>
      <c r="G71" s="9" t="s">
        <v>439</v>
      </c>
      <c r="H71" s="1" t="s">
        <v>439</v>
      </c>
      <c r="I71" s="1" t="s">
        <v>439</v>
      </c>
      <c r="J71" s="1" t="s">
        <v>439</v>
      </c>
    </row>
    <row r="72" spans="4:10" x14ac:dyDescent="0.2">
      <c r="D72" s="259" t="s">
        <v>439</v>
      </c>
      <c r="E72" s="1" t="s">
        <v>439</v>
      </c>
      <c r="F72" s="1" t="s">
        <v>439</v>
      </c>
      <c r="G72" s="9" t="s">
        <v>439</v>
      </c>
      <c r="H72" s="1" t="s">
        <v>439</v>
      </c>
      <c r="I72" s="1" t="s">
        <v>439</v>
      </c>
      <c r="J72" s="1" t="s">
        <v>439</v>
      </c>
    </row>
    <row r="73" spans="4:10" x14ac:dyDescent="0.2">
      <c r="D73" s="259" t="s">
        <v>439</v>
      </c>
      <c r="E73" s="1" t="s">
        <v>439</v>
      </c>
      <c r="F73" s="1" t="s">
        <v>439</v>
      </c>
      <c r="G73" s="9" t="s">
        <v>439</v>
      </c>
      <c r="H73" s="1" t="s">
        <v>439</v>
      </c>
      <c r="I73" s="1" t="s">
        <v>439</v>
      </c>
      <c r="J73" s="1" t="s">
        <v>439</v>
      </c>
    </row>
    <row r="74" spans="4:10" x14ac:dyDescent="0.2">
      <c r="D74" s="259" t="s">
        <v>439</v>
      </c>
      <c r="E74" s="1" t="s">
        <v>439</v>
      </c>
      <c r="F74" s="1" t="s">
        <v>439</v>
      </c>
      <c r="G74" s="9" t="s">
        <v>439</v>
      </c>
      <c r="H74" s="1" t="s">
        <v>439</v>
      </c>
      <c r="I74" s="1" t="s">
        <v>439</v>
      </c>
      <c r="J74" s="1" t="s">
        <v>439</v>
      </c>
    </row>
    <row r="75" spans="4:10" x14ac:dyDescent="0.2">
      <c r="D75" s="259" t="s">
        <v>439</v>
      </c>
      <c r="E75" s="1" t="s">
        <v>439</v>
      </c>
      <c r="F75" s="1" t="s">
        <v>439</v>
      </c>
      <c r="G75" s="9" t="s">
        <v>439</v>
      </c>
      <c r="H75" s="1" t="s">
        <v>439</v>
      </c>
      <c r="I75" s="1" t="s">
        <v>439</v>
      </c>
      <c r="J75" s="1" t="s">
        <v>439</v>
      </c>
    </row>
    <row r="76" spans="4:10" x14ac:dyDescent="0.2">
      <c r="D76" s="259" t="s">
        <v>439</v>
      </c>
      <c r="E76" s="1" t="s">
        <v>439</v>
      </c>
      <c r="F76" s="1" t="s">
        <v>439</v>
      </c>
      <c r="G76" s="9" t="s">
        <v>439</v>
      </c>
      <c r="H76" s="1" t="s">
        <v>439</v>
      </c>
      <c r="I76" s="1" t="s">
        <v>439</v>
      </c>
      <c r="J76" s="1" t="s">
        <v>439</v>
      </c>
    </row>
    <row r="77" spans="4:10" x14ac:dyDescent="0.2">
      <c r="D77" s="259" t="s">
        <v>439</v>
      </c>
      <c r="E77" s="1" t="s">
        <v>439</v>
      </c>
      <c r="F77" s="1" t="s">
        <v>439</v>
      </c>
      <c r="G77" s="9" t="s">
        <v>439</v>
      </c>
      <c r="H77" s="1" t="s">
        <v>439</v>
      </c>
      <c r="I77" s="1" t="s">
        <v>439</v>
      </c>
      <c r="J77" s="1" t="s">
        <v>439</v>
      </c>
    </row>
    <row r="78" spans="4:10" x14ac:dyDescent="0.2">
      <c r="D78" s="259" t="s">
        <v>439</v>
      </c>
      <c r="E78" s="1" t="s">
        <v>439</v>
      </c>
      <c r="F78" s="1" t="s">
        <v>439</v>
      </c>
      <c r="G78" s="9" t="s">
        <v>439</v>
      </c>
      <c r="H78" s="1" t="s">
        <v>439</v>
      </c>
      <c r="I78" s="1" t="s">
        <v>439</v>
      </c>
      <c r="J78" s="1" t="s">
        <v>439</v>
      </c>
    </row>
    <row r="79" spans="4:10" x14ac:dyDescent="0.2">
      <c r="D79" s="259" t="s">
        <v>439</v>
      </c>
      <c r="E79" s="1" t="s">
        <v>439</v>
      </c>
      <c r="F79" s="1" t="s">
        <v>439</v>
      </c>
      <c r="G79" s="9" t="s">
        <v>439</v>
      </c>
      <c r="H79" s="1" t="s">
        <v>439</v>
      </c>
      <c r="I79" s="1" t="s">
        <v>439</v>
      </c>
      <c r="J79" s="1" t="s">
        <v>439</v>
      </c>
    </row>
    <row r="80" spans="4:10" x14ac:dyDescent="0.2">
      <c r="D80" s="259" t="s">
        <v>439</v>
      </c>
      <c r="E80" s="1" t="s">
        <v>439</v>
      </c>
      <c r="F80" s="1" t="s">
        <v>439</v>
      </c>
      <c r="G80" s="9" t="s">
        <v>439</v>
      </c>
      <c r="H80" s="1" t="s">
        <v>439</v>
      </c>
      <c r="I80" s="1" t="s">
        <v>439</v>
      </c>
      <c r="J80" s="1" t="s">
        <v>439</v>
      </c>
    </row>
    <row r="81" spans="4:10" x14ac:dyDescent="0.2">
      <c r="D81" s="259" t="s">
        <v>439</v>
      </c>
      <c r="E81" s="1" t="s">
        <v>439</v>
      </c>
      <c r="F81" s="1" t="s">
        <v>439</v>
      </c>
      <c r="G81" s="9" t="s">
        <v>439</v>
      </c>
      <c r="H81" s="1" t="s">
        <v>439</v>
      </c>
      <c r="I81" s="1" t="s">
        <v>439</v>
      </c>
      <c r="J81" s="1" t="s">
        <v>439</v>
      </c>
    </row>
    <row r="82" spans="4:10" x14ac:dyDescent="0.2">
      <c r="D82" s="259" t="s">
        <v>439</v>
      </c>
      <c r="E82" s="1" t="s">
        <v>439</v>
      </c>
      <c r="F82" s="1" t="s">
        <v>439</v>
      </c>
      <c r="G82" s="9" t="s">
        <v>439</v>
      </c>
      <c r="H82" s="1" t="s">
        <v>439</v>
      </c>
      <c r="I82" s="1" t="s">
        <v>439</v>
      </c>
      <c r="J82" s="1" t="s">
        <v>439</v>
      </c>
    </row>
    <row r="83" spans="4:10" x14ac:dyDescent="0.2">
      <c r="D83" s="259" t="s">
        <v>439</v>
      </c>
      <c r="E83" s="1" t="s">
        <v>439</v>
      </c>
      <c r="F83" s="1" t="s">
        <v>439</v>
      </c>
      <c r="G83" s="9" t="s">
        <v>439</v>
      </c>
      <c r="H83" s="1" t="s">
        <v>439</v>
      </c>
      <c r="I83" s="1" t="s">
        <v>439</v>
      </c>
      <c r="J83" s="1" t="s">
        <v>439</v>
      </c>
    </row>
    <row r="84" spans="4:10" x14ac:dyDescent="0.2">
      <c r="D84" s="259" t="s">
        <v>439</v>
      </c>
      <c r="E84" s="1" t="s">
        <v>439</v>
      </c>
      <c r="F84" s="1" t="s">
        <v>439</v>
      </c>
      <c r="G84" s="9" t="s">
        <v>439</v>
      </c>
      <c r="H84" s="1" t="s">
        <v>439</v>
      </c>
      <c r="I84" s="1" t="s">
        <v>439</v>
      </c>
      <c r="J84" s="1" t="s">
        <v>439</v>
      </c>
    </row>
    <row r="85" spans="4:10" x14ac:dyDescent="0.2">
      <c r="D85" s="259" t="s">
        <v>439</v>
      </c>
      <c r="E85" s="1" t="s">
        <v>439</v>
      </c>
      <c r="F85" s="1" t="s">
        <v>439</v>
      </c>
      <c r="G85" s="9" t="s">
        <v>439</v>
      </c>
      <c r="H85" s="1" t="s">
        <v>439</v>
      </c>
      <c r="I85" s="1" t="s">
        <v>439</v>
      </c>
      <c r="J85" s="1" t="s">
        <v>439</v>
      </c>
    </row>
    <row r="86" spans="4:10" x14ac:dyDescent="0.2">
      <c r="D86" s="259" t="s">
        <v>439</v>
      </c>
      <c r="E86" s="1" t="s">
        <v>439</v>
      </c>
      <c r="F86" s="1" t="s">
        <v>439</v>
      </c>
      <c r="G86" s="9" t="s">
        <v>439</v>
      </c>
      <c r="H86" s="1" t="s">
        <v>439</v>
      </c>
      <c r="I86" s="1" t="s">
        <v>439</v>
      </c>
      <c r="J86" s="1" t="s">
        <v>439</v>
      </c>
    </row>
    <row r="87" spans="4:10" x14ac:dyDescent="0.2">
      <c r="D87" s="259" t="s">
        <v>439</v>
      </c>
      <c r="E87" s="1" t="s">
        <v>439</v>
      </c>
      <c r="F87" s="1" t="s">
        <v>439</v>
      </c>
      <c r="G87" s="9" t="s">
        <v>439</v>
      </c>
      <c r="H87" s="1" t="s">
        <v>439</v>
      </c>
      <c r="I87" s="1" t="s">
        <v>439</v>
      </c>
      <c r="J87" s="1" t="s">
        <v>439</v>
      </c>
    </row>
    <row r="88" spans="4:10" x14ac:dyDescent="0.2">
      <c r="D88" s="259" t="s">
        <v>439</v>
      </c>
      <c r="E88" s="1" t="s">
        <v>439</v>
      </c>
      <c r="F88" s="1" t="s">
        <v>439</v>
      </c>
      <c r="G88" s="9" t="s">
        <v>439</v>
      </c>
      <c r="H88" s="1" t="s">
        <v>439</v>
      </c>
      <c r="I88" s="1" t="s">
        <v>439</v>
      </c>
      <c r="J88" s="1" t="s">
        <v>439</v>
      </c>
    </row>
    <row r="89" spans="4:10" x14ac:dyDescent="0.2">
      <c r="D89" s="259" t="s">
        <v>439</v>
      </c>
      <c r="E89" s="1" t="s">
        <v>439</v>
      </c>
      <c r="F89" s="1" t="s">
        <v>439</v>
      </c>
      <c r="G89" s="9" t="s">
        <v>439</v>
      </c>
      <c r="H89" s="1" t="s">
        <v>439</v>
      </c>
      <c r="I89" s="1" t="s">
        <v>439</v>
      </c>
      <c r="J89" s="1" t="s">
        <v>439</v>
      </c>
    </row>
    <row r="90" spans="4:10" x14ac:dyDescent="0.2">
      <c r="D90" s="259" t="s">
        <v>439</v>
      </c>
      <c r="E90" s="1" t="s">
        <v>439</v>
      </c>
      <c r="F90" s="1" t="s">
        <v>439</v>
      </c>
      <c r="G90" s="9" t="s">
        <v>439</v>
      </c>
      <c r="H90" s="1" t="s">
        <v>439</v>
      </c>
      <c r="I90" s="1" t="s">
        <v>439</v>
      </c>
      <c r="J90" s="1" t="s">
        <v>439</v>
      </c>
    </row>
    <row r="91" spans="4:10" x14ac:dyDescent="0.2">
      <c r="D91" s="259" t="s">
        <v>439</v>
      </c>
      <c r="E91" s="1" t="s">
        <v>439</v>
      </c>
      <c r="F91" s="1" t="s">
        <v>439</v>
      </c>
      <c r="G91" s="9" t="s">
        <v>439</v>
      </c>
      <c r="H91" s="1" t="s">
        <v>439</v>
      </c>
      <c r="I91" s="1" t="s">
        <v>439</v>
      </c>
      <c r="J91" s="1" t="s">
        <v>439</v>
      </c>
    </row>
    <row r="92" spans="4:10" x14ac:dyDescent="0.2">
      <c r="D92" s="259" t="s">
        <v>439</v>
      </c>
      <c r="E92" s="1" t="s">
        <v>439</v>
      </c>
      <c r="F92" s="1" t="s">
        <v>439</v>
      </c>
      <c r="G92" s="9" t="s">
        <v>439</v>
      </c>
      <c r="H92" s="1" t="s">
        <v>439</v>
      </c>
      <c r="I92" s="1" t="s">
        <v>439</v>
      </c>
      <c r="J92" s="1" t="s">
        <v>439</v>
      </c>
    </row>
    <row r="93" spans="4:10" x14ac:dyDescent="0.2">
      <c r="D93" s="259" t="s">
        <v>439</v>
      </c>
      <c r="E93" s="1" t="s">
        <v>439</v>
      </c>
      <c r="F93" s="1" t="s">
        <v>439</v>
      </c>
      <c r="G93" s="9" t="s">
        <v>439</v>
      </c>
      <c r="H93" s="1" t="s">
        <v>439</v>
      </c>
      <c r="I93" s="1" t="s">
        <v>439</v>
      </c>
      <c r="J93" s="1" t="s">
        <v>439</v>
      </c>
    </row>
    <row r="94" spans="4:10" x14ac:dyDescent="0.2">
      <c r="D94" s="259" t="s">
        <v>439</v>
      </c>
      <c r="E94" s="1" t="s">
        <v>439</v>
      </c>
      <c r="F94" s="1" t="s">
        <v>439</v>
      </c>
      <c r="G94" s="9" t="s">
        <v>439</v>
      </c>
      <c r="H94" s="1" t="s">
        <v>439</v>
      </c>
      <c r="I94" s="1" t="s">
        <v>439</v>
      </c>
      <c r="J94" s="1" t="s">
        <v>439</v>
      </c>
    </row>
    <row r="95" spans="4:10" x14ac:dyDescent="0.2">
      <c r="D95" s="259" t="s">
        <v>439</v>
      </c>
      <c r="E95" s="1" t="s">
        <v>439</v>
      </c>
      <c r="F95" s="1" t="s">
        <v>439</v>
      </c>
      <c r="G95" s="9" t="s">
        <v>439</v>
      </c>
      <c r="H95" s="1" t="s">
        <v>439</v>
      </c>
      <c r="I95" s="1" t="s">
        <v>439</v>
      </c>
      <c r="J95" s="1" t="s">
        <v>439</v>
      </c>
    </row>
    <row r="96" spans="4:10" x14ac:dyDescent="0.2">
      <c r="D96" s="259" t="s">
        <v>439</v>
      </c>
      <c r="E96" s="1" t="s">
        <v>439</v>
      </c>
      <c r="F96" s="1" t="s">
        <v>439</v>
      </c>
      <c r="G96" s="9" t="s">
        <v>439</v>
      </c>
      <c r="H96" s="1" t="s">
        <v>439</v>
      </c>
      <c r="I96" s="1" t="s">
        <v>439</v>
      </c>
      <c r="J96" s="1" t="s">
        <v>439</v>
      </c>
    </row>
    <row r="97" spans="4:10" x14ac:dyDescent="0.2">
      <c r="D97" s="259" t="s">
        <v>439</v>
      </c>
      <c r="E97" s="1" t="s">
        <v>439</v>
      </c>
      <c r="F97" s="1" t="s">
        <v>439</v>
      </c>
      <c r="G97" s="9" t="s">
        <v>439</v>
      </c>
      <c r="H97" s="1" t="s">
        <v>439</v>
      </c>
      <c r="I97" s="1" t="s">
        <v>439</v>
      </c>
      <c r="J97" s="1" t="s">
        <v>439</v>
      </c>
    </row>
    <row r="98" spans="4:10" x14ac:dyDescent="0.2">
      <c r="D98" s="259" t="s">
        <v>439</v>
      </c>
      <c r="E98" s="1" t="s">
        <v>439</v>
      </c>
      <c r="F98" s="1" t="s">
        <v>439</v>
      </c>
      <c r="G98" s="9" t="s">
        <v>439</v>
      </c>
      <c r="H98" s="1" t="s">
        <v>439</v>
      </c>
      <c r="I98" s="1" t="s">
        <v>439</v>
      </c>
      <c r="J98" s="1" t="s">
        <v>439</v>
      </c>
    </row>
    <row r="99" spans="4:10" x14ac:dyDescent="0.2">
      <c r="D99" s="259" t="s">
        <v>439</v>
      </c>
      <c r="E99" s="1" t="s">
        <v>439</v>
      </c>
      <c r="F99" s="1" t="s">
        <v>439</v>
      </c>
      <c r="G99" s="9" t="s">
        <v>439</v>
      </c>
      <c r="H99" s="1" t="s">
        <v>439</v>
      </c>
      <c r="I99" s="1" t="s">
        <v>439</v>
      </c>
      <c r="J99" s="1" t="s">
        <v>439</v>
      </c>
    </row>
    <row r="100" spans="4:10" x14ac:dyDescent="0.2">
      <c r="D100" s="259" t="s">
        <v>439</v>
      </c>
      <c r="E100" s="1" t="s">
        <v>439</v>
      </c>
      <c r="F100" s="1" t="s">
        <v>439</v>
      </c>
      <c r="G100" s="9" t="s">
        <v>439</v>
      </c>
      <c r="H100" s="1" t="s">
        <v>439</v>
      </c>
      <c r="I100" s="1" t="s">
        <v>439</v>
      </c>
      <c r="J100" s="1" t="s">
        <v>439</v>
      </c>
    </row>
    <row r="101" spans="4:10" x14ac:dyDescent="0.2">
      <c r="D101" s="259" t="s">
        <v>439</v>
      </c>
      <c r="E101" s="1" t="s">
        <v>439</v>
      </c>
      <c r="F101" s="1" t="s">
        <v>439</v>
      </c>
      <c r="G101" s="9" t="s">
        <v>439</v>
      </c>
      <c r="H101" s="1" t="s">
        <v>439</v>
      </c>
      <c r="I101" s="1" t="s">
        <v>439</v>
      </c>
      <c r="J101" s="1" t="s">
        <v>439</v>
      </c>
    </row>
    <row r="102" spans="4:10" x14ac:dyDescent="0.2">
      <c r="D102" s="259" t="s">
        <v>439</v>
      </c>
      <c r="E102" s="1" t="s">
        <v>439</v>
      </c>
      <c r="F102" s="1" t="s">
        <v>439</v>
      </c>
      <c r="G102" s="9" t="s">
        <v>439</v>
      </c>
      <c r="H102" s="1" t="s">
        <v>439</v>
      </c>
      <c r="I102" s="1" t="s">
        <v>439</v>
      </c>
      <c r="J102" s="1" t="s">
        <v>439</v>
      </c>
    </row>
    <row r="103" spans="4:10" x14ac:dyDescent="0.2">
      <c r="D103" s="259" t="s">
        <v>439</v>
      </c>
      <c r="E103" s="1" t="s">
        <v>439</v>
      </c>
      <c r="F103" s="1" t="s">
        <v>439</v>
      </c>
      <c r="G103" s="9" t="s">
        <v>439</v>
      </c>
      <c r="H103" s="1" t="s">
        <v>439</v>
      </c>
      <c r="I103" s="1" t="s">
        <v>439</v>
      </c>
      <c r="J103" s="1" t="s">
        <v>439</v>
      </c>
    </row>
    <row r="104" spans="4:10" x14ac:dyDescent="0.2">
      <c r="D104" s="259" t="s">
        <v>439</v>
      </c>
      <c r="E104" s="1" t="s">
        <v>439</v>
      </c>
      <c r="F104" s="1" t="s">
        <v>439</v>
      </c>
      <c r="G104" s="9" t="s">
        <v>439</v>
      </c>
      <c r="H104" s="1" t="s">
        <v>439</v>
      </c>
      <c r="I104" s="1" t="s">
        <v>439</v>
      </c>
      <c r="J104" s="1" t="s">
        <v>439</v>
      </c>
    </row>
    <row r="105" spans="4:10" x14ac:dyDescent="0.2">
      <c r="D105" s="259" t="s">
        <v>439</v>
      </c>
      <c r="E105" s="1" t="s">
        <v>439</v>
      </c>
      <c r="F105" s="1" t="s">
        <v>439</v>
      </c>
      <c r="G105" s="9" t="s">
        <v>439</v>
      </c>
      <c r="H105" s="1" t="s">
        <v>439</v>
      </c>
      <c r="I105" s="1" t="s">
        <v>439</v>
      </c>
      <c r="J105" s="1" t="s">
        <v>439</v>
      </c>
    </row>
    <row r="106" spans="4:10" x14ac:dyDescent="0.2">
      <c r="D106" s="259" t="s">
        <v>439</v>
      </c>
      <c r="E106" s="1" t="s">
        <v>439</v>
      </c>
      <c r="F106" s="1" t="s">
        <v>439</v>
      </c>
      <c r="G106" s="9" t="s">
        <v>439</v>
      </c>
      <c r="H106" s="1" t="s">
        <v>439</v>
      </c>
      <c r="I106" s="1" t="s">
        <v>439</v>
      </c>
      <c r="J106" s="1" t="s">
        <v>439</v>
      </c>
    </row>
    <row r="107" spans="4:10" x14ac:dyDescent="0.2">
      <c r="D107" s="259" t="s">
        <v>439</v>
      </c>
      <c r="E107" s="1" t="s">
        <v>439</v>
      </c>
      <c r="F107" s="1" t="s">
        <v>439</v>
      </c>
      <c r="G107" s="9" t="s">
        <v>439</v>
      </c>
      <c r="H107" s="1" t="s">
        <v>439</v>
      </c>
      <c r="I107" s="1" t="s">
        <v>439</v>
      </c>
      <c r="J107" s="1" t="s">
        <v>439</v>
      </c>
    </row>
    <row r="108" spans="4:10" x14ac:dyDescent="0.2">
      <c r="D108" s="259" t="s">
        <v>439</v>
      </c>
      <c r="E108" s="1" t="s">
        <v>439</v>
      </c>
      <c r="F108" s="1" t="s">
        <v>439</v>
      </c>
      <c r="G108" s="9" t="s">
        <v>439</v>
      </c>
      <c r="H108" s="1" t="s">
        <v>439</v>
      </c>
      <c r="I108" s="1" t="s">
        <v>439</v>
      </c>
      <c r="J108" s="1" t="s">
        <v>439</v>
      </c>
    </row>
    <row r="109" spans="4:10" x14ac:dyDescent="0.2">
      <c r="D109" s="259" t="s">
        <v>439</v>
      </c>
      <c r="E109" s="1" t="s">
        <v>439</v>
      </c>
      <c r="F109" s="1" t="s">
        <v>439</v>
      </c>
      <c r="G109" s="9" t="s">
        <v>439</v>
      </c>
      <c r="H109" s="1" t="s">
        <v>439</v>
      </c>
      <c r="I109" s="1" t="s">
        <v>439</v>
      </c>
      <c r="J109" s="1" t="s">
        <v>439</v>
      </c>
    </row>
    <row r="110" spans="4:10" x14ac:dyDescent="0.2">
      <c r="D110" s="259" t="s">
        <v>439</v>
      </c>
      <c r="E110" s="1" t="s">
        <v>439</v>
      </c>
      <c r="F110" s="1" t="s">
        <v>439</v>
      </c>
      <c r="G110" s="9" t="s">
        <v>439</v>
      </c>
      <c r="H110" s="1" t="s">
        <v>439</v>
      </c>
      <c r="I110" s="1" t="s">
        <v>439</v>
      </c>
      <c r="J110" s="1" t="s">
        <v>439</v>
      </c>
    </row>
    <row r="111" spans="4:10" x14ac:dyDescent="0.2">
      <c r="D111" s="259" t="s">
        <v>439</v>
      </c>
      <c r="E111" s="1" t="s">
        <v>439</v>
      </c>
      <c r="F111" s="1" t="s">
        <v>439</v>
      </c>
      <c r="G111" s="9" t="s">
        <v>439</v>
      </c>
      <c r="H111" s="1" t="s">
        <v>439</v>
      </c>
      <c r="I111" s="1" t="s">
        <v>439</v>
      </c>
      <c r="J111" s="1" t="s">
        <v>439</v>
      </c>
    </row>
    <row r="112" spans="4:10" x14ac:dyDescent="0.2">
      <c r="D112" s="259" t="s">
        <v>439</v>
      </c>
      <c r="E112" s="1" t="s">
        <v>439</v>
      </c>
      <c r="F112" s="1" t="s">
        <v>439</v>
      </c>
      <c r="G112" s="9" t="s">
        <v>439</v>
      </c>
      <c r="H112" s="1" t="s">
        <v>439</v>
      </c>
      <c r="I112" s="1" t="s">
        <v>439</v>
      </c>
      <c r="J112" s="1" t="s">
        <v>439</v>
      </c>
    </row>
    <row r="113" spans="4:10" x14ac:dyDescent="0.2">
      <c r="D113" s="259" t="s">
        <v>439</v>
      </c>
      <c r="E113" s="1" t="s">
        <v>439</v>
      </c>
      <c r="F113" s="1" t="s">
        <v>439</v>
      </c>
      <c r="G113" s="9" t="s">
        <v>439</v>
      </c>
      <c r="H113" s="1" t="s">
        <v>439</v>
      </c>
      <c r="I113" s="1" t="s">
        <v>439</v>
      </c>
      <c r="J113" s="1" t="s">
        <v>439</v>
      </c>
    </row>
    <row r="114" spans="4:10" x14ac:dyDescent="0.2">
      <c r="D114" s="259" t="s">
        <v>439</v>
      </c>
      <c r="E114" s="1" t="s">
        <v>439</v>
      </c>
      <c r="F114" s="1" t="s">
        <v>439</v>
      </c>
      <c r="G114" s="9" t="s">
        <v>439</v>
      </c>
      <c r="H114" s="1" t="s">
        <v>439</v>
      </c>
      <c r="I114" s="1" t="s">
        <v>439</v>
      </c>
      <c r="J114" s="1" t="s">
        <v>439</v>
      </c>
    </row>
    <row r="115" spans="4:10" x14ac:dyDescent="0.2">
      <c r="D115" s="259" t="s">
        <v>439</v>
      </c>
      <c r="E115" s="1" t="s">
        <v>439</v>
      </c>
      <c r="F115" s="1" t="s">
        <v>439</v>
      </c>
      <c r="G115" s="9" t="s">
        <v>439</v>
      </c>
      <c r="H115" s="1" t="s">
        <v>439</v>
      </c>
      <c r="I115" s="1" t="s">
        <v>439</v>
      </c>
      <c r="J115" s="1" t="s">
        <v>439</v>
      </c>
    </row>
    <row r="116" spans="4:10" x14ac:dyDescent="0.2">
      <c r="D116" s="259" t="s">
        <v>439</v>
      </c>
      <c r="E116" s="1" t="s">
        <v>439</v>
      </c>
      <c r="F116" s="1" t="s">
        <v>439</v>
      </c>
      <c r="G116" s="9" t="s">
        <v>439</v>
      </c>
      <c r="H116" s="1" t="s">
        <v>439</v>
      </c>
      <c r="I116" s="1" t="s">
        <v>439</v>
      </c>
      <c r="J116" s="1" t="s">
        <v>439</v>
      </c>
    </row>
    <row r="117" spans="4:10" x14ac:dyDescent="0.2">
      <c r="D117" s="259" t="s">
        <v>439</v>
      </c>
      <c r="E117" s="1" t="s">
        <v>439</v>
      </c>
      <c r="F117" s="1" t="s">
        <v>439</v>
      </c>
      <c r="G117" s="9" t="s">
        <v>439</v>
      </c>
      <c r="H117" s="1" t="s">
        <v>439</v>
      </c>
      <c r="I117" s="1" t="s">
        <v>439</v>
      </c>
      <c r="J117" s="1" t="s">
        <v>439</v>
      </c>
    </row>
    <row r="118" spans="4:10" x14ac:dyDescent="0.2">
      <c r="D118" s="259" t="s">
        <v>439</v>
      </c>
      <c r="E118" s="1" t="s">
        <v>439</v>
      </c>
      <c r="F118" s="1" t="s">
        <v>439</v>
      </c>
      <c r="G118" s="9" t="s">
        <v>439</v>
      </c>
      <c r="H118" s="1" t="s">
        <v>439</v>
      </c>
      <c r="I118" s="1" t="s">
        <v>439</v>
      </c>
      <c r="J118" s="1" t="s">
        <v>439</v>
      </c>
    </row>
    <row r="119" spans="4:10" x14ac:dyDescent="0.2">
      <c r="D119" s="259" t="s">
        <v>439</v>
      </c>
      <c r="E119" s="1" t="s">
        <v>439</v>
      </c>
      <c r="F119" s="1" t="s">
        <v>439</v>
      </c>
      <c r="G119" s="9" t="s">
        <v>439</v>
      </c>
      <c r="H119" s="1" t="s">
        <v>439</v>
      </c>
      <c r="I119" s="1" t="s">
        <v>439</v>
      </c>
      <c r="J119" s="1" t="s">
        <v>439</v>
      </c>
    </row>
    <row r="120" spans="4:10" x14ac:dyDescent="0.2">
      <c r="D120" s="259" t="s">
        <v>439</v>
      </c>
      <c r="E120" s="1" t="s">
        <v>439</v>
      </c>
      <c r="F120" s="1" t="s">
        <v>439</v>
      </c>
      <c r="G120" s="9" t="s">
        <v>439</v>
      </c>
      <c r="H120" s="1" t="s">
        <v>439</v>
      </c>
      <c r="I120" s="1" t="s">
        <v>439</v>
      </c>
      <c r="J120" s="1" t="s">
        <v>439</v>
      </c>
    </row>
    <row r="121" spans="4:10" x14ac:dyDescent="0.2">
      <c r="D121" s="259" t="s">
        <v>439</v>
      </c>
      <c r="E121" s="1" t="s">
        <v>439</v>
      </c>
      <c r="F121" s="1" t="s">
        <v>439</v>
      </c>
      <c r="G121" s="9" t="s">
        <v>439</v>
      </c>
      <c r="H121" s="1" t="s">
        <v>439</v>
      </c>
      <c r="I121" s="1" t="s">
        <v>439</v>
      </c>
      <c r="J121" s="1" t="s">
        <v>439</v>
      </c>
    </row>
    <row r="122" spans="4:10" x14ac:dyDescent="0.2">
      <c r="D122" s="259" t="s">
        <v>439</v>
      </c>
      <c r="E122" s="1" t="s">
        <v>439</v>
      </c>
      <c r="F122" s="1" t="s">
        <v>439</v>
      </c>
      <c r="G122" s="9" t="s">
        <v>439</v>
      </c>
      <c r="H122" s="1" t="s">
        <v>439</v>
      </c>
      <c r="I122" s="1" t="s">
        <v>439</v>
      </c>
      <c r="J122" s="1" t="s">
        <v>439</v>
      </c>
    </row>
    <row r="123" spans="4:10" x14ac:dyDescent="0.2">
      <c r="D123" s="259" t="s">
        <v>439</v>
      </c>
      <c r="E123" s="1" t="s">
        <v>439</v>
      </c>
      <c r="F123" s="1" t="s">
        <v>439</v>
      </c>
      <c r="G123" s="9" t="s">
        <v>439</v>
      </c>
      <c r="H123" s="1" t="s">
        <v>439</v>
      </c>
      <c r="I123" s="1" t="s">
        <v>439</v>
      </c>
      <c r="J123" s="1" t="s">
        <v>439</v>
      </c>
    </row>
    <row r="124" spans="4:10" x14ac:dyDescent="0.2">
      <c r="D124" s="259" t="s">
        <v>439</v>
      </c>
      <c r="E124" s="1" t="s">
        <v>439</v>
      </c>
      <c r="F124" s="1" t="s">
        <v>439</v>
      </c>
      <c r="G124" s="9" t="s">
        <v>439</v>
      </c>
      <c r="H124" s="1" t="s">
        <v>439</v>
      </c>
      <c r="I124" s="1" t="s">
        <v>439</v>
      </c>
      <c r="J124" s="1" t="s">
        <v>439</v>
      </c>
    </row>
    <row r="125" spans="4:10" x14ac:dyDescent="0.2">
      <c r="D125" s="259" t="s">
        <v>439</v>
      </c>
      <c r="E125" s="1" t="s">
        <v>439</v>
      </c>
      <c r="F125" s="1" t="s">
        <v>439</v>
      </c>
      <c r="G125" s="9" t="s">
        <v>439</v>
      </c>
      <c r="H125" s="1" t="s">
        <v>439</v>
      </c>
      <c r="I125" s="1" t="s">
        <v>439</v>
      </c>
      <c r="J125" s="1" t="s">
        <v>439</v>
      </c>
    </row>
    <row r="126" spans="4:10" x14ac:dyDescent="0.2">
      <c r="D126" s="259" t="s">
        <v>439</v>
      </c>
      <c r="E126" s="1" t="s">
        <v>439</v>
      </c>
      <c r="F126" s="1" t="s">
        <v>439</v>
      </c>
      <c r="G126" s="9" t="s">
        <v>439</v>
      </c>
      <c r="H126" s="1" t="s">
        <v>439</v>
      </c>
      <c r="I126" s="1" t="s">
        <v>439</v>
      </c>
      <c r="J126" s="1" t="s">
        <v>439</v>
      </c>
    </row>
    <row r="127" spans="4:10" x14ac:dyDescent="0.2">
      <c r="D127" s="259" t="s">
        <v>439</v>
      </c>
      <c r="E127" s="1" t="s">
        <v>439</v>
      </c>
      <c r="F127" s="1" t="s">
        <v>439</v>
      </c>
      <c r="G127" s="9" t="s">
        <v>439</v>
      </c>
      <c r="H127" s="1" t="s">
        <v>439</v>
      </c>
      <c r="I127" s="1" t="s">
        <v>439</v>
      </c>
      <c r="J127" s="1" t="s">
        <v>439</v>
      </c>
    </row>
    <row r="128" spans="4:10" x14ac:dyDescent="0.2">
      <c r="D128" s="259" t="s">
        <v>439</v>
      </c>
      <c r="E128" s="1" t="s">
        <v>439</v>
      </c>
      <c r="F128" s="1" t="s">
        <v>439</v>
      </c>
      <c r="G128" s="9" t="s">
        <v>439</v>
      </c>
      <c r="H128" s="1" t="s">
        <v>439</v>
      </c>
      <c r="I128" s="1" t="s">
        <v>439</v>
      </c>
      <c r="J128" s="1" t="s">
        <v>439</v>
      </c>
    </row>
    <row r="129" spans="4:10" x14ac:dyDescent="0.2">
      <c r="D129" s="259" t="s">
        <v>439</v>
      </c>
      <c r="E129" s="1" t="s">
        <v>439</v>
      </c>
      <c r="F129" s="1" t="s">
        <v>439</v>
      </c>
      <c r="G129" s="9" t="s">
        <v>439</v>
      </c>
      <c r="H129" s="1" t="s">
        <v>439</v>
      </c>
      <c r="I129" s="1" t="s">
        <v>439</v>
      </c>
      <c r="J129" s="1" t="s">
        <v>439</v>
      </c>
    </row>
    <row r="130" spans="4:10" x14ac:dyDescent="0.2">
      <c r="D130" s="259" t="s">
        <v>439</v>
      </c>
      <c r="E130" s="1" t="s">
        <v>439</v>
      </c>
      <c r="F130" s="1" t="s">
        <v>439</v>
      </c>
      <c r="G130" s="9" t="s">
        <v>439</v>
      </c>
      <c r="H130" s="1" t="s">
        <v>439</v>
      </c>
      <c r="I130" s="1" t="s">
        <v>439</v>
      </c>
      <c r="J130" s="1" t="s">
        <v>439</v>
      </c>
    </row>
    <row r="131" spans="4:10" x14ac:dyDescent="0.2">
      <c r="D131" s="259" t="s">
        <v>439</v>
      </c>
      <c r="E131" s="1" t="s">
        <v>439</v>
      </c>
      <c r="F131" s="1" t="s">
        <v>439</v>
      </c>
      <c r="G131" s="9" t="s">
        <v>439</v>
      </c>
      <c r="H131" s="1" t="s">
        <v>439</v>
      </c>
      <c r="I131" s="1" t="s">
        <v>439</v>
      </c>
      <c r="J131" s="1" t="s">
        <v>439</v>
      </c>
    </row>
    <row r="132" spans="4:10" x14ac:dyDescent="0.2">
      <c r="D132" s="259" t="s">
        <v>439</v>
      </c>
      <c r="E132" s="1" t="s">
        <v>439</v>
      </c>
      <c r="F132" s="1" t="s">
        <v>439</v>
      </c>
      <c r="G132" s="9" t="s">
        <v>439</v>
      </c>
      <c r="H132" s="1" t="s">
        <v>439</v>
      </c>
      <c r="I132" s="1" t="s">
        <v>439</v>
      </c>
      <c r="J132" s="1" t="s">
        <v>439</v>
      </c>
    </row>
    <row r="133" spans="4:10" x14ac:dyDescent="0.2">
      <c r="D133" s="259" t="s">
        <v>439</v>
      </c>
      <c r="E133" s="1" t="s">
        <v>439</v>
      </c>
      <c r="F133" s="1" t="s">
        <v>439</v>
      </c>
      <c r="G133" s="9" t="s">
        <v>439</v>
      </c>
      <c r="H133" s="1" t="s">
        <v>439</v>
      </c>
      <c r="I133" s="1" t="s">
        <v>439</v>
      </c>
      <c r="J133" s="1" t="s">
        <v>439</v>
      </c>
    </row>
    <row r="134" spans="4:10" x14ac:dyDescent="0.2">
      <c r="D134" s="259" t="s">
        <v>439</v>
      </c>
      <c r="E134" s="1" t="s">
        <v>439</v>
      </c>
      <c r="F134" s="1" t="s">
        <v>439</v>
      </c>
      <c r="G134" s="9" t="s">
        <v>439</v>
      </c>
      <c r="H134" s="1" t="s">
        <v>439</v>
      </c>
      <c r="I134" s="1" t="s">
        <v>439</v>
      </c>
      <c r="J134" s="1" t="s">
        <v>439</v>
      </c>
    </row>
    <row r="135" spans="4:10" x14ac:dyDescent="0.2">
      <c r="D135" s="259" t="s">
        <v>439</v>
      </c>
      <c r="E135" s="1" t="s">
        <v>439</v>
      </c>
      <c r="F135" s="1" t="s">
        <v>439</v>
      </c>
      <c r="G135" s="9" t="s">
        <v>439</v>
      </c>
      <c r="H135" s="1" t="s">
        <v>439</v>
      </c>
      <c r="I135" s="1" t="s">
        <v>439</v>
      </c>
      <c r="J135" s="1" t="s">
        <v>439</v>
      </c>
    </row>
    <row r="136" spans="4:10" x14ac:dyDescent="0.2">
      <c r="D136" s="259" t="s">
        <v>439</v>
      </c>
      <c r="E136" s="1" t="s">
        <v>439</v>
      </c>
      <c r="F136" s="1" t="s">
        <v>439</v>
      </c>
      <c r="G136" s="9" t="s">
        <v>439</v>
      </c>
      <c r="H136" s="1" t="s">
        <v>439</v>
      </c>
      <c r="I136" s="1" t="s">
        <v>439</v>
      </c>
      <c r="J136" s="1" t="s">
        <v>439</v>
      </c>
    </row>
    <row r="137" spans="4:10" x14ac:dyDescent="0.2">
      <c r="D137" s="259" t="s">
        <v>439</v>
      </c>
      <c r="E137" s="1" t="s">
        <v>439</v>
      </c>
      <c r="F137" s="1" t="s">
        <v>439</v>
      </c>
      <c r="G137" s="9" t="s">
        <v>439</v>
      </c>
      <c r="H137" s="1" t="s">
        <v>439</v>
      </c>
      <c r="I137" s="1" t="s">
        <v>439</v>
      </c>
      <c r="J137" s="1" t="s">
        <v>439</v>
      </c>
    </row>
    <row r="138" spans="4:10" x14ac:dyDescent="0.2">
      <c r="D138" s="259" t="s">
        <v>439</v>
      </c>
      <c r="E138" s="1" t="s">
        <v>439</v>
      </c>
      <c r="F138" s="1" t="s">
        <v>439</v>
      </c>
      <c r="G138" s="9" t="s">
        <v>439</v>
      </c>
      <c r="H138" s="1" t="s">
        <v>439</v>
      </c>
      <c r="I138" s="1" t="s">
        <v>439</v>
      </c>
      <c r="J138" s="1" t="s">
        <v>439</v>
      </c>
    </row>
    <row r="139" spans="4:10" x14ac:dyDescent="0.2">
      <c r="D139" s="259" t="s">
        <v>439</v>
      </c>
      <c r="E139" s="1" t="s">
        <v>439</v>
      </c>
      <c r="F139" s="1" t="s">
        <v>439</v>
      </c>
      <c r="G139" s="9" t="s">
        <v>439</v>
      </c>
      <c r="H139" s="1" t="s">
        <v>439</v>
      </c>
      <c r="I139" s="1" t="s">
        <v>439</v>
      </c>
      <c r="J139" s="1" t="s">
        <v>439</v>
      </c>
    </row>
    <row r="140" spans="4:10" x14ac:dyDescent="0.2">
      <c r="D140" s="259" t="s">
        <v>439</v>
      </c>
      <c r="E140" s="1" t="s">
        <v>439</v>
      </c>
      <c r="F140" s="1" t="s">
        <v>439</v>
      </c>
      <c r="G140" s="9" t="s">
        <v>439</v>
      </c>
      <c r="H140" s="1" t="s">
        <v>439</v>
      </c>
      <c r="I140" s="1" t="s">
        <v>439</v>
      </c>
      <c r="J140" s="1" t="s">
        <v>439</v>
      </c>
    </row>
    <row r="141" spans="4:10" x14ac:dyDescent="0.2">
      <c r="D141" s="259" t="s">
        <v>439</v>
      </c>
      <c r="E141" s="1" t="s">
        <v>439</v>
      </c>
      <c r="F141" s="1" t="s">
        <v>439</v>
      </c>
      <c r="G141" s="9" t="s">
        <v>439</v>
      </c>
      <c r="H141" s="1" t="s">
        <v>439</v>
      </c>
      <c r="I141" s="1" t="s">
        <v>439</v>
      </c>
      <c r="J141" s="1" t="s">
        <v>439</v>
      </c>
    </row>
    <row r="142" spans="4:10" x14ac:dyDescent="0.2">
      <c r="D142" s="259" t="s">
        <v>439</v>
      </c>
      <c r="E142" s="1" t="s">
        <v>439</v>
      </c>
      <c r="F142" s="1" t="s">
        <v>439</v>
      </c>
      <c r="G142" s="9" t="s">
        <v>439</v>
      </c>
      <c r="H142" s="1" t="s">
        <v>439</v>
      </c>
      <c r="I142" s="1" t="s">
        <v>439</v>
      </c>
      <c r="J142" s="1" t="s">
        <v>439</v>
      </c>
    </row>
    <row r="143" spans="4:10" x14ac:dyDescent="0.2">
      <c r="D143" s="259" t="s">
        <v>439</v>
      </c>
      <c r="E143" s="1" t="s">
        <v>439</v>
      </c>
      <c r="F143" s="1" t="s">
        <v>439</v>
      </c>
      <c r="G143" s="9" t="s">
        <v>439</v>
      </c>
      <c r="H143" s="1" t="s">
        <v>439</v>
      </c>
      <c r="I143" s="1" t="s">
        <v>439</v>
      </c>
      <c r="J143" s="1" t="s">
        <v>439</v>
      </c>
    </row>
    <row r="144" spans="4:10" x14ac:dyDescent="0.2">
      <c r="D144" s="259" t="s">
        <v>439</v>
      </c>
      <c r="E144" s="1" t="s">
        <v>439</v>
      </c>
      <c r="F144" s="1" t="s">
        <v>439</v>
      </c>
      <c r="G144" s="9" t="s">
        <v>439</v>
      </c>
      <c r="H144" s="1" t="s">
        <v>439</v>
      </c>
      <c r="I144" s="1" t="s">
        <v>439</v>
      </c>
      <c r="J144" s="1" t="s">
        <v>439</v>
      </c>
    </row>
    <row r="145" spans="4:10" x14ac:dyDescent="0.2">
      <c r="D145" s="259" t="s">
        <v>439</v>
      </c>
      <c r="E145" s="1" t="s">
        <v>439</v>
      </c>
      <c r="F145" s="1" t="s">
        <v>439</v>
      </c>
      <c r="G145" s="9" t="s">
        <v>439</v>
      </c>
      <c r="H145" s="1" t="s">
        <v>439</v>
      </c>
      <c r="I145" s="1" t="s">
        <v>439</v>
      </c>
      <c r="J145" s="1" t="s">
        <v>439</v>
      </c>
    </row>
    <row r="146" spans="4:10" x14ac:dyDescent="0.2">
      <c r="D146" s="259" t="s">
        <v>439</v>
      </c>
      <c r="E146" s="1" t="s">
        <v>439</v>
      </c>
      <c r="F146" s="1" t="s">
        <v>439</v>
      </c>
      <c r="G146" s="9" t="s">
        <v>439</v>
      </c>
      <c r="H146" s="1" t="s">
        <v>439</v>
      </c>
      <c r="I146" s="1" t="s">
        <v>439</v>
      </c>
      <c r="J146" s="1" t="s">
        <v>439</v>
      </c>
    </row>
    <row r="147" spans="4:10" x14ac:dyDescent="0.2">
      <c r="D147" s="259" t="s">
        <v>439</v>
      </c>
      <c r="E147" s="1" t="s">
        <v>439</v>
      </c>
      <c r="F147" s="1" t="s">
        <v>439</v>
      </c>
      <c r="G147" s="9" t="s">
        <v>439</v>
      </c>
      <c r="H147" s="1" t="s">
        <v>439</v>
      </c>
      <c r="I147" s="1" t="s">
        <v>439</v>
      </c>
      <c r="J147" s="1" t="s">
        <v>439</v>
      </c>
    </row>
    <row r="148" spans="4:10" x14ac:dyDescent="0.2">
      <c r="D148" s="259" t="s">
        <v>439</v>
      </c>
      <c r="E148" s="1" t="s">
        <v>439</v>
      </c>
      <c r="F148" s="1" t="s">
        <v>439</v>
      </c>
      <c r="G148" s="9" t="s">
        <v>439</v>
      </c>
      <c r="H148" s="1" t="s">
        <v>439</v>
      </c>
      <c r="I148" s="1" t="s">
        <v>439</v>
      </c>
      <c r="J148" s="1" t="s">
        <v>439</v>
      </c>
    </row>
    <row r="149" spans="4:10" x14ac:dyDescent="0.2">
      <c r="D149" s="259" t="s">
        <v>439</v>
      </c>
      <c r="E149" s="1" t="s">
        <v>439</v>
      </c>
      <c r="F149" s="1" t="s">
        <v>439</v>
      </c>
      <c r="G149" s="9" t="s">
        <v>439</v>
      </c>
      <c r="H149" s="1" t="s">
        <v>439</v>
      </c>
      <c r="I149" s="1" t="s">
        <v>439</v>
      </c>
      <c r="J149" s="1" t="s">
        <v>439</v>
      </c>
    </row>
    <row r="150" spans="4:10" x14ac:dyDescent="0.2">
      <c r="D150" s="259" t="s">
        <v>439</v>
      </c>
      <c r="E150" s="1" t="s">
        <v>439</v>
      </c>
      <c r="F150" s="1" t="s">
        <v>439</v>
      </c>
      <c r="G150" s="9" t="s">
        <v>439</v>
      </c>
      <c r="H150" s="1" t="s">
        <v>439</v>
      </c>
      <c r="I150" s="1" t="s">
        <v>439</v>
      </c>
      <c r="J150" s="1" t="s">
        <v>439</v>
      </c>
    </row>
    <row r="151" spans="4:10" x14ac:dyDescent="0.2">
      <c r="D151" s="259" t="s">
        <v>439</v>
      </c>
      <c r="E151" s="1" t="s">
        <v>439</v>
      </c>
      <c r="F151" s="1" t="s">
        <v>439</v>
      </c>
      <c r="G151" s="9" t="s">
        <v>439</v>
      </c>
      <c r="H151" s="1" t="s">
        <v>439</v>
      </c>
      <c r="I151" s="1" t="s">
        <v>439</v>
      </c>
      <c r="J151" s="1" t="s">
        <v>439</v>
      </c>
    </row>
    <row r="152" spans="4:10" x14ac:dyDescent="0.2">
      <c r="D152" s="259" t="s">
        <v>439</v>
      </c>
      <c r="E152" s="1" t="s">
        <v>439</v>
      </c>
      <c r="F152" s="1" t="s">
        <v>439</v>
      </c>
      <c r="G152" s="9" t="s">
        <v>439</v>
      </c>
      <c r="H152" s="1" t="s">
        <v>439</v>
      </c>
      <c r="I152" s="1" t="s">
        <v>439</v>
      </c>
      <c r="J152" s="1" t="s">
        <v>439</v>
      </c>
    </row>
    <row r="153" spans="4:10" x14ac:dyDescent="0.2">
      <c r="D153" s="259" t="s">
        <v>439</v>
      </c>
      <c r="E153" s="1" t="s">
        <v>439</v>
      </c>
      <c r="F153" s="1" t="s">
        <v>439</v>
      </c>
      <c r="G153" s="9" t="s">
        <v>439</v>
      </c>
      <c r="H153" s="1" t="s">
        <v>439</v>
      </c>
      <c r="I153" s="1" t="s">
        <v>439</v>
      </c>
      <c r="J153" s="1" t="s">
        <v>439</v>
      </c>
    </row>
    <row r="154" spans="4:10" x14ac:dyDescent="0.2">
      <c r="D154" s="259" t="s">
        <v>439</v>
      </c>
      <c r="E154" s="1" t="s">
        <v>439</v>
      </c>
      <c r="F154" s="1" t="s">
        <v>439</v>
      </c>
      <c r="G154" s="9" t="s">
        <v>439</v>
      </c>
      <c r="H154" s="1" t="s">
        <v>439</v>
      </c>
      <c r="I154" s="1" t="s">
        <v>439</v>
      </c>
      <c r="J154" s="1" t="s">
        <v>439</v>
      </c>
    </row>
    <row r="155" spans="4:10" x14ac:dyDescent="0.2">
      <c r="D155" s="259" t="s">
        <v>439</v>
      </c>
      <c r="E155" s="1" t="s">
        <v>439</v>
      </c>
      <c r="F155" s="1" t="s">
        <v>439</v>
      </c>
      <c r="G155" s="9" t="s">
        <v>439</v>
      </c>
      <c r="H155" s="1" t="s">
        <v>439</v>
      </c>
      <c r="I155" s="1" t="s">
        <v>439</v>
      </c>
      <c r="J155" s="1" t="s">
        <v>439</v>
      </c>
    </row>
    <row r="156" spans="4:10" x14ac:dyDescent="0.2">
      <c r="D156" s="259" t="s">
        <v>439</v>
      </c>
      <c r="E156" s="1" t="s">
        <v>439</v>
      </c>
      <c r="F156" s="1" t="s">
        <v>439</v>
      </c>
      <c r="G156" s="9" t="s">
        <v>439</v>
      </c>
      <c r="H156" s="1" t="s">
        <v>439</v>
      </c>
      <c r="I156" s="1" t="s">
        <v>439</v>
      </c>
      <c r="J156" s="1" t="s">
        <v>439</v>
      </c>
    </row>
    <row r="157" spans="4:10" x14ac:dyDescent="0.2">
      <c r="D157" s="259" t="s">
        <v>439</v>
      </c>
      <c r="E157" s="1" t="s">
        <v>439</v>
      </c>
      <c r="F157" s="1" t="s">
        <v>439</v>
      </c>
      <c r="G157" s="9" t="s">
        <v>439</v>
      </c>
      <c r="H157" s="1" t="s">
        <v>439</v>
      </c>
      <c r="I157" s="1" t="s">
        <v>439</v>
      </c>
      <c r="J157" s="1" t="s">
        <v>439</v>
      </c>
    </row>
    <row r="158" spans="4:10" x14ac:dyDescent="0.2">
      <c r="D158" s="259" t="s">
        <v>439</v>
      </c>
      <c r="E158" s="1" t="s">
        <v>439</v>
      </c>
      <c r="F158" s="1" t="s">
        <v>439</v>
      </c>
      <c r="G158" s="9" t="s">
        <v>439</v>
      </c>
      <c r="H158" s="1" t="s">
        <v>439</v>
      </c>
      <c r="I158" s="1" t="s">
        <v>439</v>
      </c>
      <c r="J158" s="1" t="s">
        <v>439</v>
      </c>
    </row>
    <row r="159" spans="4:10" x14ac:dyDescent="0.2">
      <c r="D159" s="259" t="s">
        <v>439</v>
      </c>
      <c r="E159" s="1" t="s">
        <v>439</v>
      </c>
      <c r="F159" s="1" t="s">
        <v>439</v>
      </c>
      <c r="G159" s="9" t="s">
        <v>439</v>
      </c>
      <c r="H159" s="1" t="s">
        <v>439</v>
      </c>
      <c r="I159" s="1" t="s">
        <v>439</v>
      </c>
      <c r="J159" s="1" t="s">
        <v>439</v>
      </c>
    </row>
    <row r="160" spans="4:10" x14ac:dyDescent="0.2">
      <c r="D160" s="259" t="s">
        <v>439</v>
      </c>
      <c r="E160" s="1" t="s">
        <v>439</v>
      </c>
      <c r="F160" s="1" t="s">
        <v>439</v>
      </c>
      <c r="G160" s="9" t="s">
        <v>439</v>
      </c>
      <c r="H160" s="1" t="s">
        <v>439</v>
      </c>
      <c r="I160" s="1" t="s">
        <v>439</v>
      </c>
      <c r="J160" s="1" t="s">
        <v>439</v>
      </c>
    </row>
    <row r="161" spans="4:10" x14ac:dyDescent="0.2">
      <c r="D161" s="259" t="s">
        <v>439</v>
      </c>
      <c r="E161" s="1" t="s">
        <v>439</v>
      </c>
      <c r="F161" s="1" t="s">
        <v>439</v>
      </c>
      <c r="G161" s="9" t="s">
        <v>439</v>
      </c>
      <c r="H161" s="1" t="s">
        <v>439</v>
      </c>
      <c r="I161" s="1" t="s">
        <v>439</v>
      </c>
      <c r="J161" s="1" t="s">
        <v>439</v>
      </c>
    </row>
    <row r="162" spans="4:10" x14ac:dyDescent="0.2">
      <c r="D162" s="259" t="s">
        <v>439</v>
      </c>
      <c r="E162" s="1" t="s">
        <v>439</v>
      </c>
      <c r="F162" s="1" t="s">
        <v>439</v>
      </c>
      <c r="G162" s="9" t="s">
        <v>439</v>
      </c>
      <c r="H162" s="1" t="s">
        <v>439</v>
      </c>
      <c r="I162" s="1" t="s">
        <v>439</v>
      </c>
      <c r="J162" s="1" t="s">
        <v>439</v>
      </c>
    </row>
    <row r="163" spans="4:10" x14ac:dyDescent="0.2">
      <c r="D163" s="259" t="s">
        <v>439</v>
      </c>
      <c r="E163" s="1" t="s">
        <v>439</v>
      </c>
      <c r="F163" s="1" t="s">
        <v>439</v>
      </c>
      <c r="G163" s="9" t="s">
        <v>439</v>
      </c>
      <c r="H163" s="1" t="s">
        <v>439</v>
      </c>
      <c r="I163" s="1" t="s">
        <v>439</v>
      </c>
      <c r="J163" s="1" t="s">
        <v>439</v>
      </c>
    </row>
    <row r="164" spans="4:10" x14ac:dyDescent="0.2">
      <c r="D164" s="259" t="s">
        <v>439</v>
      </c>
      <c r="E164" s="1" t="s">
        <v>439</v>
      </c>
      <c r="F164" s="1" t="s">
        <v>439</v>
      </c>
      <c r="G164" s="9" t="s">
        <v>439</v>
      </c>
      <c r="H164" s="1" t="s">
        <v>439</v>
      </c>
      <c r="I164" s="1" t="s">
        <v>439</v>
      </c>
      <c r="J164" s="1" t="s">
        <v>439</v>
      </c>
    </row>
    <row r="165" spans="4:10" x14ac:dyDescent="0.2">
      <c r="D165" s="259" t="s">
        <v>439</v>
      </c>
      <c r="E165" s="1" t="s">
        <v>439</v>
      </c>
      <c r="F165" s="1" t="s">
        <v>439</v>
      </c>
      <c r="G165" s="9" t="s">
        <v>439</v>
      </c>
      <c r="H165" s="1" t="s">
        <v>439</v>
      </c>
      <c r="I165" s="1" t="s">
        <v>439</v>
      </c>
      <c r="J165" s="1" t="s">
        <v>439</v>
      </c>
    </row>
    <row r="166" spans="4:10" x14ac:dyDescent="0.2">
      <c r="D166" s="259" t="s">
        <v>439</v>
      </c>
      <c r="E166" s="1" t="s">
        <v>439</v>
      </c>
      <c r="F166" s="1" t="s">
        <v>439</v>
      </c>
      <c r="G166" s="9" t="s">
        <v>439</v>
      </c>
      <c r="H166" s="1" t="s">
        <v>439</v>
      </c>
      <c r="I166" s="1" t="s">
        <v>439</v>
      </c>
      <c r="J166" s="1" t="s">
        <v>439</v>
      </c>
    </row>
    <row r="167" spans="4:10" x14ac:dyDescent="0.2">
      <c r="D167" s="259" t="s">
        <v>439</v>
      </c>
      <c r="E167" s="1" t="s">
        <v>439</v>
      </c>
      <c r="F167" s="1" t="s">
        <v>439</v>
      </c>
      <c r="G167" s="9" t="s">
        <v>439</v>
      </c>
      <c r="H167" s="1" t="s">
        <v>439</v>
      </c>
      <c r="I167" s="1" t="s">
        <v>439</v>
      </c>
      <c r="J167" s="1" t="s">
        <v>439</v>
      </c>
    </row>
    <row r="168" spans="4:10" x14ac:dyDescent="0.2">
      <c r="D168" s="259" t="s">
        <v>439</v>
      </c>
      <c r="E168" s="1" t="s">
        <v>439</v>
      </c>
      <c r="F168" s="1" t="s">
        <v>439</v>
      </c>
      <c r="G168" s="9" t="s">
        <v>439</v>
      </c>
      <c r="H168" s="1" t="s">
        <v>439</v>
      </c>
      <c r="I168" s="1" t="s">
        <v>439</v>
      </c>
      <c r="J168" s="1" t="s">
        <v>439</v>
      </c>
    </row>
    <row r="169" spans="4:10" x14ac:dyDescent="0.2">
      <c r="D169" s="259" t="s">
        <v>439</v>
      </c>
      <c r="E169" s="1" t="s">
        <v>439</v>
      </c>
      <c r="F169" s="1" t="s">
        <v>439</v>
      </c>
      <c r="G169" s="9" t="s">
        <v>439</v>
      </c>
      <c r="H169" s="1" t="s">
        <v>439</v>
      </c>
      <c r="I169" s="1" t="s">
        <v>439</v>
      </c>
      <c r="J169" s="1" t="s">
        <v>439</v>
      </c>
    </row>
    <row r="170" spans="4:10" x14ac:dyDescent="0.2">
      <c r="D170" s="259" t="s">
        <v>439</v>
      </c>
      <c r="E170" s="1" t="s">
        <v>439</v>
      </c>
      <c r="F170" s="1" t="s">
        <v>439</v>
      </c>
      <c r="G170" s="9" t="s">
        <v>439</v>
      </c>
      <c r="H170" s="1" t="s">
        <v>439</v>
      </c>
      <c r="I170" s="1" t="s">
        <v>439</v>
      </c>
      <c r="J170" s="1" t="s">
        <v>439</v>
      </c>
    </row>
    <row r="171" spans="4:10" x14ac:dyDescent="0.2">
      <c r="D171" s="259" t="s">
        <v>439</v>
      </c>
      <c r="E171" s="1" t="s">
        <v>439</v>
      </c>
      <c r="F171" s="1" t="s">
        <v>439</v>
      </c>
      <c r="G171" s="9" t="s">
        <v>439</v>
      </c>
      <c r="H171" s="1" t="s">
        <v>439</v>
      </c>
      <c r="I171" s="1" t="s">
        <v>439</v>
      </c>
      <c r="J171" s="1" t="s">
        <v>439</v>
      </c>
    </row>
    <row r="172" spans="4:10" x14ac:dyDescent="0.2">
      <c r="D172" s="259" t="s">
        <v>439</v>
      </c>
      <c r="E172" s="1" t="s">
        <v>439</v>
      </c>
      <c r="F172" s="1" t="s">
        <v>439</v>
      </c>
      <c r="G172" s="9" t="s">
        <v>439</v>
      </c>
      <c r="H172" s="1" t="s">
        <v>439</v>
      </c>
      <c r="I172" s="1" t="s">
        <v>439</v>
      </c>
      <c r="J172" s="1" t="s">
        <v>439</v>
      </c>
    </row>
    <row r="173" spans="4:10" x14ac:dyDescent="0.2">
      <c r="D173" s="259" t="s">
        <v>439</v>
      </c>
      <c r="E173" s="1" t="s">
        <v>439</v>
      </c>
      <c r="F173" s="1" t="s">
        <v>439</v>
      </c>
      <c r="G173" s="9" t="s">
        <v>439</v>
      </c>
      <c r="H173" s="1" t="s">
        <v>439</v>
      </c>
      <c r="I173" s="1" t="s">
        <v>439</v>
      </c>
      <c r="J173" s="1" t="s">
        <v>439</v>
      </c>
    </row>
    <row r="174" spans="4:10" x14ac:dyDescent="0.2">
      <c r="D174" s="259" t="s">
        <v>439</v>
      </c>
      <c r="E174" s="1" t="s">
        <v>439</v>
      </c>
      <c r="F174" s="1" t="s">
        <v>439</v>
      </c>
      <c r="G174" s="9" t="s">
        <v>439</v>
      </c>
      <c r="H174" s="1" t="s">
        <v>439</v>
      </c>
      <c r="I174" s="1" t="s">
        <v>439</v>
      </c>
      <c r="J174" s="1" t="s">
        <v>439</v>
      </c>
    </row>
    <row r="175" spans="4:10" x14ac:dyDescent="0.2">
      <c r="D175" s="259" t="s">
        <v>439</v>
      </c>
      <c r="E175" s="1" t="s">
        <v>439</v>
      </c>
      <c r="F175" s="1" t="s">
        <v>439</v>
      </c>
      <c r="G175" s="9" t="s">
        <v>439</v>
      </c>
      <c r="H175" s="1" t="s">
        <v>439</v>
      </c>
      <c r="I175" s="1" t="s">
        <v>439</v>
      </c>
      <c r="J175" s="1" t="s">
        <v>439</v>
      </c>
    </row>
    <row r="176" spans="4:10" x14ac:dyDescent="0.2">
      <c r="D176" s="259" t="s">
        <v>439</v>
      </c>
      <c r="E176" s="1" t="s">
        <v>439</v>
      </c>
      <c r="F176" s="1" t="s">
        <v>439</v>
      </c>
      <c r="G176" s="9" t="s">
        <v>439</v>
      </c>
      <c r="H176" s="1" t="s">
        <v>439</v>
      </c>
      <c r="I176" s="1" t="s">
        <v>439</v>
      </c>
      <c r="J176" s="1" t="s">
        <v>439</v>
      </c>
    </row>
    <row r="177" spans="4:10" x14ac:dyDescent="0.2">
      <c r="D177" s="259" t="s">
        <v>439</v>
      </c>
      <c r="E177" s="1" t="s">
        <v>439</v>
      </c>
      <c r="F177" s="1" t="s">
        <v>439</v>
      </c>
      <c r="G177" s="9" t="s">
        <v>439</v>
      </c>
      <c r="H177" s="1" t="s">
        <v>439</v>
      </c>
      <c r="I177" s="1" t="s">
        <v>439</v>
      </c>
      <c r="J177" s="1" t="s">
        <v>439</v>
      </c>
    </row>
    <row r="178" spans="4:10" x14ac:dyDescent="0.2">
      <c r="D178" s="259" t="s">
        <v>439</v>
      </c>
      <c r="E178" s="1" t="s">
        <v>439</v>
      </c>
      <c r="F178" s="1" t="s">
        <v>439</v>
      </c>
      <c r="G178" s="9" t="s">
        <v>439</v>
      </c>
      <c r="H178" s="1" t="s">
        <v>439</v>
      </c>
      <c r="I178" s="1" t="s">
        <v>439</v>
      </c>
      <c r="J178" s="1" t="s">
        <v>439</v>
      </c>
    </row>
    <row r="179" spans="4:10" x14ac:dyDescent="0.2">
      <c r="D179" s="259" t="s">
        <v>439</v>
      </c>
      <c r="E179" s="1" t="s">
        <v>439</v>
      </c>
      <c r="F179" s="1" t="s">
        <v>439</v>
      </c>
      <c r="G179" s="9" t="s">
        <v>439</v>
      </c>
      <c r="H179" s="1" t="s">
        <v>439</v>
      </c>
      <c r="I179" s="1" t="s">
        <v>439</v>
      </c>
      <c r="J179" s="1" t="s">
        <v>439</v>
      </c>
    </row>
    <row r="180" spans="4:10" x14ac:dyDescent="0.2">
      <c r="D180" s="259" t="s">
        <v>439</v>
      </c>
      <c r="E180" s="1" t="s">
        <v>439</v>
      </c>
      <c r="F180" s="1" t="s">
        <v>439</v>
      </c>
      <c r="G180" s="9" t="s">
        <v>439</v>
      </c>
      <c r="H180" s="1" t="s">
        <v>439</v>
      </c>
      <c r="I180" s="1" t="s">
        <v>439</v>
      </c>
      <c r="J180" s="1" t="s">
        <v>439</v>
      </c>
    </row>
    <row r="181" spans="4:10" x14ac:dyDescent="0.2">
      <c r="D181" s="259" t="s">
        <v>439</v>
      </c>
      <c r="E181" s="1" t="s">
        <v>439</v>
      </c>
      <c r="F181" s="1" t="s">
        <v>439</v>
      </c>
      <c r="G181" s="9" t="s">
        <v>439</v>
      </c>
      <c r="H181" s="1" t="s">
        <v>439</v>
      </c>
      <c r="I181" s="1" t="s">
        <v>439</v>
      </c>
      <c r="J181" s="1" t="s">
        <v>439</v>
      </c>
    </row>
    <row r="182" spans="4:10" x14ac:dyDescent="0.2">
      <c r="D182" s="259" t="s">
        <v>439</v>
      </c>
      <c r="E182" s="1" t="s">
        <v>439</v>
      </c>
      <c r="F182" s="1" t="s">
        <v>439</v>
      </c>
      <c r="G182" s="9" t="s">
        <v>439</v>
      </c>
      <c r="H182" s="1" t="s">
        <v>439</v>
      </c>
      <c r="I182" s="1" t="s">
        <v>439</v>
      </c>
      <c r="J182" s="1" t="s">
        <v>439</v>
      </c>
    </row>
    <row r="183" spans="4:10" x14ac:dyDescent="0.2">
      <c r="D183" s="259" t="s">
        <v>439</v>
      </c>
      <c r="E183" s="1" t="s">
        <v>439</v>
      </c>
      <c r="F183" s="1" t="s">
        <v>439</v>
      </c>
      <c r="G183" s="9" t="s">
        <v>439</v>
      </c>
      <c r="H183" s="1" t="s">
        <v>439</v>
      </c>
      <c r="I183" s="1" t="s">
        <v>439</v>
      </c>
      <c r="J183" s="1" t="s">
        <v>439</v>
      </c>
    </row>
    <row r="184" spans="4:10" x14ac:dyDescent="0.2">
      <c r="D184" s="259" t="s">
        <v>439</v>
      </c>
      <c r="E184" s="1" t="s">
        <v>439</v>
      </c>
      <c r="F184" s="1" t="s">
        <v>439</v>
      </c>
      <c r="G184" s="9" t="s">
        <v>439</v>
      </c>
      <c r="H184" s="1" t="s">
        <v>439</v>
      </c>
      <c r="I184" s="1" t="s">
        <v>439</v>
      </c>
      <c r="J184" s="1" t="s">
        <v>439</v>
      </c>
    </row>
    <row r="185" spans="4:10" x14ac:dyDescent="0.2">
      <c r="D185" s="259" t="s">
        <v>439</v>
      </c>
      <c r="E185" s="1" t="s">
        <v>439</v>
      </c>
      <c r="F185" s="1" t="s">
        <v>439</v>
      </c>
      <c r="G185" s="9" t="s">
        <v>439</v>
      </c>
      <c r="H185" s="1" t="s">
        <v>439</v>
      </c>
      <c r="I185" s="1" t="s">
        <v>439</v>
      </c>
      <c r="J185" s="1" t="s">
        <v>439</v>
      </c>
    </row>
    <row r="186" spans="4:10" x14ac:dyDescent="0.2">
      <c r="D186" s="259" t="s">
        <v>439</v>
      </c>
      <c r="E186" s="1" t="s">
        <v>439</v>
      </c>
      <c r="F186" s="1" t="s">
        <v>439</v>
      </c>
      <c r="G186" s="9" t="s">
        <v>439</v>
      </c>
      <c r="H186" s="1" t="s">
        <v>439</v>
      </c>
      <c r="I186" s="1" t="s">
        <v>439</v>
      </c>
      <c r="J186" s="1" t="s">
        <v>439</v>
      </c>
    </row>
    <row r="187" spans="4:10" x14ac:dyDescent="0.2">
      <c r="D187" s="259" t="s">
        <v>439</v>
      </c>
      <c r="E187" s="1" t="s">
        <v>439</v>
      </c>
      <c r="F187" s="1" t="s">
        <v>439</v>
      </c>
      <c r="G187" s="9" t="s">
        <v>439</v>
      </c>
      <c r="H187" s="1" t="s">
        <v>439</v>
      </c>
      <c r="I187" s="1" t="s">
        <v>439</v>
      </c>
      <c r="J187" s="1" t="s">
        <v>439</v>
      </c>
    </row>
    <row r="188" spans="4:10" x14ac:dyDescent="0.2">
      <c r="D188" s="259" t="s">
        <v>439</v>
      </c>
      <c r="E188" s="1" t="s">
        <v>439</v>
      </c>
      <c r="F188" s="1" t="s">
        <v>439</v>
      </c>
      <c r="G188" s="9" t="s">
        <v>439</v>
      </c>
      <c r="H188" s="1" t="s">
        <v>439</v>
      </c>
      <c r="I188" s="1" t="s">
        <v>439</v>
      </c>
      <c r="J188" s="1" t="s">
        <v>439</v>
      </c>
    </row>
    <row r="189" spans="4:10" x14ac:dyDescent="0.2">
      <c r="D189" s="259" t="s">
        <v>439</v>
      </c>
      <c r="E189" s="1" t="s">
        <v>439</v>
      </c>
      <c r="F189" s="1" t="s">
        <v>439</v>
      </c>
      <c r="G189" s="9" t="s">
        <v>439</v>
      </c>
      <c r="H189" s="1" t="s">
        <v>439</v>
      </c>
      <c r="I189" s="1" t="s">
        <v>439</v>
      </c>
      <c r="J189" s="1" t="s">
        <v>439</v>
      </c>
    </row>
    <row r="190" spans="4:10" x14ac:dyDescent="0.2">
      <c r="D190" s="259" t="s">
        <v>439</v>
      </c>
      <c r="E190" s="1" t="s">
        <v>439</v>
      </c>
      <c r="F190" s="1" t="s">
        <v>439</v>
      </c>
      <c r="G190" s="9" t="s">
        <v>439</v>
      </c>
      <c r="H190" s="1" t="s">
        <v>439</v>
      </c>
      <c r="I190" s="1" t="s">
        <v>439</v>
      </c>
      <c r="J190" s="1" t="s">
        <v>439</v>
      </c>
    </row>
    <row r="191" spans="4:10" x14ac:dyDescent="0.2">
      <c r="D191" s="259" t="s">
        <v>439</v>
      </c>
      <c r="E191" s="1" t="s">
        <v>439</v>
      </c>
      <c r="F191" s="1" t="s">
        <v>439</v>
      </c>
      <c r="G191" s="9" t="s">
        <v>439</v>
      </c>
      <c r="H191" s="1" t="s">
        <v>439</v>
      </c>
      <c r="I191" s="1" t="s">
        <v>439</v>
      </c>
      <c r="J191" s="1" t="s">
        <v>439</v>
      </c>
    </row>
    <row r="192" spans="4:10" x14ac:dyDescent="0.2">
      <c r="D192" s="259" t="s">
        <v>439</v>
      </c>
      <c r="E192" s="1" t="s">
        <v>439</v>
      </c>
      <c r="F192" s="1" t="s">
        <v>439</v>
      </c>
      <c r="G192" s="9" t="s">
        <v>439</v>
      </c>
      <c r="H192" s="1" t="s">
        <v>439</v>
      </c>
      <c r="I192" s="1" t="s">
        <v>439</v>
      </c>
      <c r="J192" s="1" t="s">
        <v>439</v>
      </c>
    </row>
    <row r="193" spans="4:10" x14ac:dyDescent="0.2">
      <c r="D193" s="259" t="s">
        <v>439</v>
      </c>
      <c r="E193" s="1" t="s">
        <v>439</v>
      </c>
      <c r="F193" s="1" t="s">
        <v>439</v>
      </c>
      <c r="G193" s="9" t="s">
        <v>439</v>
      </c>
      <c r="H193" s="1" t="s">
        <v>439</v>
      </c>
      <c r="I193" s="1" t="s">
        <v>439</v>
      </c>
      <c r="J193" s="1" t="s">
        <v>439</v>
      </c>
    </row>
    <row r="194" spans="4:10" x14ac:dyDescent="0.2">
      <c r="D194" s="259" t="s">
        <v>439</v>
      </c>
      <c r="E194" s="1" t="s">
        <v>439</v>
      </c>
      <c r="F194" s="1" t="s">
        <v>439</v>
      </c>
      <c r="G194" s="9" t="s">
        <v>439</v>
      </c>
      <c r="H194" s="1" t="s">
        <v>439</v>
      </c>
      <c r="I194" s="1" t="s">
        <v>439</v>
      </c>
      <c r="J194" s="1" t="s">
        <v>439</v>
      </c>
    </row>
    <row r="195" spans="4:10" x14ac:dyDescent="0.2">
      <c r="D195" s="259" t="s">
        <v>439</v>
      </c>
      <c r="E195" s="1" t="s">
        <v>439</v>
      </c>
      <c r="F195" s="1" t="s">
        <v>439</v>
      </c>
      <c r="G195" s="9" t="s">
        <v>439</v>
      </c>
      <c r="H195" s="1" t="s">
        <v>439</v>
      </c>
      <c r="I195" s="1" t="s">
        <v>439</v>
      </c>
      <c r="J195" s="1" t="s">
        <v>439</v>
      </c>
    </row>
    <row r="196" spans="4:10" x14ac:dyDescent="0.2">
      <c r="D196" s="259" t="s">
        <v>439</v>
      </c>
      <c r="E196" s="1" t="s">
        <v>439</v>
      </c>
      <c r="F196" s="1" t="s">
        <v>439</v>
      </c>
      <c r="G196" s="9" t="s">
        <v>439</v>
      </c>
      <c r="H196" s="1" t="s">
        <v>439</v>
      </c>
      <c r="I196" s="1" t="s">
        <v>439</v>
      </c>
      <c r="J196" s="1" t="s">
        <v>439</v>
      </c>
    </row>
    <row r="197" spans="4:10" x14ac:dyDescent="0.2">
      <c r="D197" s="259" t="s">
        <v>439</v>
      </c>
      <c r="E197" s="1" t="s">
        <v>439</v>
      </c>
      <c r="F197" s="1" t="s">
        <v>439</v>
      </c>
      <c r="G197" s="9" t="s">
        <v>439</v>
      </c>
      <c r="H197" s="1" t="s">
        <v>439</v>
      </c>
      <c r="I197" s="1" t="s">
        <v>439</v>
      </c>
      <c r="J197" s="1" t="s">
        <v>439</v>
      </c>
    </row>
    <row r="198" spans="4:10" x14ac:dyDescent="0.2">
      <c r="D198" s="259" t="s">
        <v>439</v>
      </c>
      <c r="E198" s="1" t="s">
        <v>439</v>
      </c>
      <c r="F198" s="1" t="s">
        <v>439</v>
      </c>
      <c r="G198" s="9" t="s">
        <v>439</v>
      </c>
      <c r="H198" s="1" t="s">
        <v>439</v>
      </c>
      <c r="I198" s="1" t="s">
        <v>439</v>
      </c>
      <c r="J198" s="1" t="s">
        <v>439</v>
      </c>
    </row>
    <row r="199" spans="4:10" x14ac:dyDescent="0.2">
      <c r="D199" s="259" t="s">
        <v>439</v>
      </c>
      <c r="E199" s="1" t="s">
        <v>439</v>
      </c>
      <c r="F199" s="1" t="s">
        <v>439</v>
      </c>
      <c r="G199" s="9" t="s">
        <v>439</v>
      </c>
      <c r="H199" s="1" t="s">
        <v>439</v>
      </c>
      <c r="I199" s="1" t="s">
        <v>439</v>
      </c>
      <c r="J199" s="1" t="s">
        <v>439</v>
      </c>
    </row>
    <row r="200" spans="4:10" x14ac:dyDescent="0.2">
      <c r="D200" s="259" t="s">
        <v>439</v>
      </c>
      <c r="E200" s="1" t="s">
        <v>439</v>
      </c>
      <c r="F200" s="1" t="s">
        <v>439</v>
      </c>
      <c r="G200" s="9" t="s">
        <v>439</v>
      </c>
      <c r="H200" s="1" t="s">
        <v>439</v>
      </c>
      <c r="I200" s="1" t="s">
        <v>439</v>
      </c>
      <c r="J200" s="1" t="s">
        <v>439</v>
      </c>
    </row>
    <row r="201" spans="4:10" x14ac:dyDescent="0.2">
      <c r="D201" s="259" t="s">
        <v>439</v>
      </c>
      <c r="E201" s="1" t="s">
        <v>439</v>
      </c>
      <c r="F201" s="1" t="s">
        <v>439</v>
      </c>
      <c r="G201" s="9" t="s">
        <v>439</v>
      </c>
      <c r="H201" s="1" t="s">
        <v>439</v>
      </c>
      <c r="I201" s="1" t="s">
        <v>439</v>
      </c>
      <c r="J201" s="1" t="s">
        <v>439</v>
      </c>
    </row>
    <row r="202" spans="4:10" x14ac:dyDescent="0.2">
      <c r="D202" s="259" t="s">
        <v>439</v>
      </c>
      <c r="E202" s="1" t="s">
        <v>439</v>
      </c>
      <c r="F202" s="1" t="s">
        <v>439</v>
      </c>
      <c r="G202" s="9" t="s">
        <v>439</v>
      </c>
      <c r="H202" s="1" t="s">
        <v>439</v>
      </c>
      <c r="I202" s="1" t="s">
        <v>439</v>
      </c>
      <c r="J202" s="1" t="s">
        <v>439</v>
      </c>
    </row>
    <row r="203" spans="4:10" x14ac:dyDescent="0.2">
      <c r="D203" s="259" t="s">
        <v>439</v>
      </c>
      <c r="E203" s="1" t="s">
        <v>439</v>
      </c>
      <c r="F203" s="1" t="s">
        <v>439</v>
      </c>
      <c r="G203" s="9" t="s">
        <v>439</v>
      </c>
      <c r="H203" s="1" t="s">
        <v>439</v>
      </c>
      <c r="I203" s="1" t="s">
        <v>439</v>
      </c>
      <c r="J203" s="1" t="s">
        <v>439</v>
      </c>
    </row>
    <row r="204" spans="4:10" x14ac:dyDescent="0.2">
      <c r="D204" s="259" t="s">
        <v>439</v>
      </c>
      <c r="E204" s="1" t="s">
        <v>439</v>
      </c>
      <c r="F204" s="1" t="s">
        <v>439</v>
      </c>
      <c r="G204" s="9" t="s">
        <v>439</v>
      </c>
      <c r="H204" s="1" t="s">
        <v>439</v>
      </c>
      <c r="I204" s="1" t="s">
        <v>439</v>
      </c>
      <c r="J204" s="1" t="s">
        <v>439</v>
      </c>
    </row>
    <row r="205" spans="4:10" x14ac:dyDescent="0.2">
      <c r="D205" s="259" t="s">
        <v>439</v>
      </c>
      <c r="E205" s="1" t="s">
        <v>439</v>
      </c>
      <c r="F205" s="1" t="s">
        <v>439</v>
      </c>
      <c r="G205" s="9" t="s">
        <v>439</v>
      </c>
      <c r="H205" s="1" t="s">
        <v>439</v>
      </c>
      <c r="I205" s="1" t="s">
        <v>439</v>
      </c>
      <c r="J205" s="1" t="s">
        <v>439</v>
      </c>
    </row>
    <row r="206" spans="4:10" x14ac:dyDescent="0.2">
      <c r="D206" s="259" t="s">
        <v>439</v>
      </c>
      <c r="E206" s="1" t="s">
        <v>439</v>
      </c>
      <c r="F206" s="1" t="s">
        <v>439</v>
      </c>
      <c r="G206" s="9" t="s">
        <v>439</v>
      </c>
      <c r="H206" s="1" t="s">
        <v>439</v>
      </c>
      <c r="I206" s="1" t="s">
        <v>439</v>
      </c>
      <c r="J206" s="1" t="s">
        <v>439</v>
      </c>
    </row>
    <row r="207" spans="4:10" x14ac:dyDescent="0.2">
      <c r="D207" s="259" t="s">
        <v>439</v>
      </c>
      <c r="E207" s="1" t="s">
        <v>439</v>
      </c>
      <c r="F207" s="1" t="s">
        <v>439</v>
      </c>
      <c r="G207" s="9" t="s">
        <v>439</v>
      </c>
      <c r="H207" s="1" t="s">
        <v>439</v>
      </c>
      <c r="I207" s="1" t="s">
        <v>439</v>
      </c>
      <c r="J207" s="1" t="s">
        <v>439</v>
      </c>
    </row>
    <row r="208" spans="4:10" x14ac:dyDescent="0.2">
      <c r="D208" s="259" t="s">
        <v>439</v>
      </c>
      <c r="E208" s="1" t="s">
        <v>439</v>
      </c>
      <c r="F208" s="1" t="s">
        <v>439</v>
      </c>
      <c r="G208" s="9" t="s">
        <v>439</v>
      </c>
      <c r="H208" s="1" t="s">
        <v>439</v>
      </c>
      <c r="I208" s="1" t="s">
        <v>439</v>
      </c>
      <c r="J208" s="1" t="s">
        <v>439</v>
      </c>
    </row>
    <row r="209" spans="4:10" x14ac:dyDescent="0.2">
      <c r="D209" s="259" t="s">
        <v>439</v>
      </c>
      <c r="E209" s="1" t="s">
        <v>439</v>
      </c>
      <c r="F209" s="1" t="s">
        <v>439</v>
      </c>
      <c r="G209" s="9" t="s">
        <v>439</v>
      </c>
      <c r="H209" s="1" t="s">
        <v>439</v>
      </c>
      <c r="I209" s="1" t="s">
        <v>439</v>
      </c>
      <c r="J209" s="1" t="s">
        <v>439</v>
      </c>
    </row>
    <row r="210" spans="4:10" x14ac:dyDescent="0.2">
      <c r="D210" s="259" t="s">
        <v>439</v>
      </c>
      <c r="E210" s="1" t="s">
        <v>439</v>
      </c>
      <c r="F210" s="1" t="s">
        <v>439</v>
      </c>
      <c r="G210" s="9" t="s">
        <v>439</v>
      </c>
      <c r="H210" s="1" t="s">
        <v>439</v>
      </c>
      <c r="I210" s="1" t="s">
        <v>439</v>
      </c>
      <c r="J210" s="1" t="s">
        <v>439</v>
      </c>
    </row>
    <row r="211" spans="4:10" x14ac:dyDescent="0.2">
      <c r="D211" s="259" t="s">
        <v>439</v>
      </c>
      <c r="E211" s="1" t="s">
        <v>439</v>
      </c>
      <c r="F211" s="1" t="s">
        <v>439</v>
      </c>
      <c r="G211" s="9" t="s">
        <v>439</v>
      </c>
      <c r="H211" s="1" t="s">
        <v>439</v>
      </c>
      <c r="I211" s="1" t="s">
        <v>439</v>
      </c>
      <c r="J211" s="1" t="s">
        <v>439</v>
      </c>
    </row>
    <row r="212" spans="4:10" x14ac:dyDescent="0.2">
      <c r="D212" s="259" t="s">
        <v>439</v>
      </c>
      <c r="E212" s="1" t="s">
        <v>439</v>
      </c>
      <c r="F212" s="1" t="s">
        <v>439</v>
      </c>
      <c r="G212" s="9" t="s">
        <v>439</v>
      </c>
      <c r="H212" s="1" t="s">
        <v>439</v>
      </c>
      <c r="I212" s="1" t="s">
        <v>439</v>
      </c>
      <c r="J212" s="1" t="s">
        <v>439</v>
      </c>
    </row>
    <row r="213" spans="4:10" x14ac:dyDescent="0.2">
      <c r="D213" s="259" t="s">
        <v>439</v>
      </c>
      <c r="E213" s="1" t="s">
        <v>439</v>
      </c>
      <c r="F213" s="1" t="s">
        <v>439</v>
      </c>
      <c r="G213" s="9" t="s">
        <v>439</v>
      </c>
      <c r="H213" s="1" t="s">
        <v>439</v>
      </c>
      <c r="I213" s="1" t="s">
        <v>439</v>
      </c>
      <c r="J213" s="1" t="s">
        <v>439</v>
      </c>
    </row>
    <row r="214" spans="4:10" x14ac:dyDescent="0.2">
      <c r="D214" s="259" t="s">
        <v>439</v>
      </c>
      <c r="E214" s="1" t="s">
        <v>439</v>
      </c>
      <c r="F214" s="1" t="s">
        <v>439</v>
      </c>
      <c r="G214" s="9" t="s">
        <v>439</v>
      </c>
      <c r="H214" s="1" t="s">
        <v>439</v>
      </c>
      <c r="I214" s="1" t="s">
        <v>439</v>
      </c>
      <c r="J214" s="1" t="s">
        <v>439</v>
      </c>
    </row>
    <row r="215" spans="4:10" x14ac:dyDescent="0.2">
      <c r="D215" s="259" t="s">
        <v>439</v>
      </c>
      <c r="E215" s="1" t="s">
        <v>439</v>
      </c>
      <c r="F215" s="1" t="s">
        <v>439</v>
      </c>
      <c r="G215" s="9" t="s">
        <v>439</v>
      </c>
      <c r="H215" s="1" t="s">
        <v>439</v>
      </c>
      <c r="I215" s="1" t="s">
        <v>439</v>
      </c>
      <c r="J215" s="1" t="s">
        <v>439</v>
      </c>
    </row>
    <row r="216" spans="4:10" x14ac:dyDescent="0.2">
      <c r="D216" s="259" t="s">
        <v>439</v>
      </c>
      <c r="E216" s="1" t="s">
        <v>439</v>
      </c>
      <c r="F216" s="1" t="s">
        <v>439</v>
      </c>
      <c r="G216" s="9" t="s">
        <v>439</v>
      </c>
      <c r="H216" s="1" t="s">
        <v>439</v>
      </c>
      <c r="I216" s="1" t="s">
        <v>439</v>
      </c>
      <c r="J216" s="1" t="s">
        <v>439</v>
      </c>
    </row>
    <row r="217" spans="4:10" x14ac:dyDescent="0.2">
      <c r="D217" s="259" t="s">
        <v>439</v>
      </c>
      <c r="E217" s="1" t="s">
        <v>439</v>
      </c>
      <c r="F217" s="1" t="s">
        <v>439</v>
      </c>
      <c r="G217" s="9" t="s">
        <v>439</v>
      </c>
      <c r="H217" s="1" t="s">
        <v>439</v>
      </c>
      <c r="I217" s="1" t="s">
        <v>439</v>
      </c>
      <c r="J217" s="1" t="s">
        <v>439</v>
      </c>
    </row>
    <row r="218" spans="4:10" x14ac:dyDescent="0.2">
      <c r="D218" s="259" t="s">
        <v>439</v>
      </c>
      <c r="E218" s="1" t="s">
        <v>439</v>
      </c>
      <c r="F218" s="1" t="s">
        <v>439</v>
      </c>
      <c r="G218" s="9" t="s">
        <v>439</v>
      </c>
      <c r="H218" s="1" t="s">
        <v>439</v>
      </c>
      <c r="I218" s="1" t="s">
        <v>439</v>
      </c>
      <c r="J218" s="1" t="s">
        <v>439</v>
      </c>
    </row>
    <row r="219" spans="4:10" x14ac:dyDescent="0.2">
      <c r="D219" s="259" t="s">
        <v>439</v>
      </c>
      <c r="E219" s="1" t="s">
        <v>439</v>
      </c>
      <c r="F219" s="1" t="s">
        <v>439</v>
      </c>
      <c r="G219" s="9" t="s">
        <v>439</v>
      </c>
      <c r="H219" s="1" t="s">
        <v>439</v>
      </c>
      <c r="I219" s="1" t="s">
        <v>439</v>
      </c>
      <c r="J219" s="1" t="s">
        <v>439</v>
      </c>
    </row>
    <row r="220" spans="4:10" x14ac:dyDescent="0.2">
      <c r="D220" s="259" t="s">
        <v>439</v>
      </c>
      <c r="E220" s="1" t="s">
        <v>439</v>
      </c>
      <c r="F220" s="1" t="s">
        <v>439</v>
      </c>
      <c r="G220" s="9" t="s">
        <v>439</v>
      </c>
      <c r="H220" s="1" t="s">
        <v>439</v>
      </c>
      <c r="I220" s="1" t="s">
        <v>439</v>
      </c>
      <c r="J220" s="1" t="s">
        <v>439</v>
      </c>
    </row>
    <row r="221" spans="4:10" x14ac:dyDescent="0.2">
      <c r="D221" s="259" t="s">
        <v>439</v>
      </c>
      <c r="E221" s="1" t="s">
        <v>439</v>
      </c>
      <c r="F221" s="1" t="s">
        <v>439</v>
      </c>
      <c r="G221" s="9" t="s">
        <v>439</v>
      </c>
      <c r="H221" s="1" t="s">
        <v>439</v>
      </c>
      <c r="I221" s="1" t="s">
        <v>439</v>
      </c>
      <c r="J221" s="1" t="s">
        <v>439</v>
      </c>
    </row>
    <row r="222" spans="4:10" x14ac:dyDescent="0.2">
      <c r="D222" s="259" t="s">
        <v>439</v>
      </c>
      <c r="E222" s="1" t="s">
        <v>439</v>
      </c>
      <c r="F222" s="1" t="s">
        <v>439</v>
      </c>
      <c r="G222" s="9" t="s">
        <v>439</v>
      </c>
      <c r="H222" s="1" t="s">
        <v>439</v>
      </c>
      <c r="I222" s="1" t="s">
        <v>439</v>
      </c>
      <c r="J222" s="1" t="s">
        <v>439</v>
      </c>
    </row>
    <row r="223" spans="4:10" x14ac:dyDescent="0.2">
      <c r="D223" s="259" t="s">
        <v>439</v>
      </c>
      <c r="E223" s="1" t="s">
        <v>439</v>
      </c>
      <c r="F223" s="1" t="s">
        <v>439</v>
      </c>
      <c r="G223" s="9" t="s">
        <v>439</v>
      </c>
      <c r="H223" s="1" t="s">
        <v>439</v>
      </c>
      <c r="I223" s="1" t="s">
        <v>439</v>
      </c>
      <c r="J223" s="1" t="s">
        <v>439</v>
      </c>
    </row>
    <row r="224" spans="4:10" x14ac:dyDescent="0.2">
      <c r="D224" s="259" t="s">
        <v>439</v>
      </c>
      <c r="E224" s="1" t="s">
        <v>439</v>
      </c>
      <c r="F224" s="1" t="s">
        <v>439</v>
      </c>
      <c r="G224" s="9" t="s">
        <v>439</v>
      </c>
      <c r="H224" s="1" t="s">
        <v>439</v>
      </c>
      <c r="I224" s="1" t="s">
        <v>439</v>
      </c>
      <c r="J224" s="1" t="s">
        <v>439</v>
      </c>
    </row>
    <row r="225" spans="4:10" x14ac:dyDescent="0.2">
      <c r="D225" s="259" t="s">
        <v>439</v>
      </c>
      <c r="E225" s="1" t="s">
        <v>439</v>
      </c>
      <c r="F225" s="1" t="s">
        <v>439</v>
      </c>
      <c r="G225" s="9" t="s">
        <v>439</v>
      </c>
      <c r="H225" s="1" t="s">
        <v>439</v>
      </c>
      <c r="I225" s="1" t="s">
        <v>439</v>
      </c>
      <c r="J225" s="1" t="s">
        <v>439</v>
      </c>
    </row>
    <row r="226" spans="4:10" x14ac:dyDescent="0.2">
      <c r="D226" s="259" t="s">
        <v>439</v>
      </c>
      <c r="E226" s="1" t="s">
        <v>439</v>
      </c>
      <c r="F226" s="1" t="s">
        <v>439</v>
      </c>
      <c r="G226" s="9" t="s">
        <v>439</v>
      </c>
      <c r="H226" s="1" t="s">
        <v>439</v>
      </c>
      <c r="I226" s="1" t="s">
        <v>439</v>
      </c>
      <c r="J226" s="1" t="s">
        <v>439</v>
      </c>
    </row>
    <row r="227" spans="4:10" x14ac:dyDescent="0.2">
      <c r="D227" s="259" t="s">
        <v>439</v>
      </c>
      <c r="E227" s="1" t="s">
        <v>439</v>
      </c>
      <c r="F227" s="1" t="s">
        <v>439</v>
      </c>
      <c r="G227" s="9" t="s">
        <v>439</v>
      </c>
      <c r="H227" s="1" t="s">
        <v>439</v>
      </c>
      <c r="I227" s="1" t="s">
        <v>439</v>
      </c>
      <c r="J227" s="1" t="s">
        <v>439</v>
      </c>
    </row>
    <row r="228" spans="4:10" x14ac:dyDescent="0.2">
      <c r="D228" s="259" t="s">
        <v>439</v>
      </c>
      <c r="E228" s="1" t="s">
        <v>439</v>
      </c>
      <c r="F228" s="1" t="s">
        <v>439</v>
      </c>
      <c r="G228" s="9" t="s">
        <v>439</v>
      </c>
      <c r="H228" s="1" t="s">
        <v>439</v>
      </c>
      <c r="I228" s="1" t="s">
        <v>439</v>
      </c>
      <c r="J228" s="1" t="s">
        <v>439</v>
      </c>
    </row>
    <row r="229" spans="4:10" x14ac:dyDescent="0.2">
      <c r="D229" s="259" t="s">
        <v>439</v>
      </c>
      <c r="E229" s="1" t="s">
        <v>439</v>
      </c>
      <c r="F229" s="1" t="s">
        <v>439</v>
      </c>
      <c r="G229" s="9" t="s">
        <v>439</v>
      </c>
      <c r="H229" s="1" t="s">
        <v>439</v>
      </c>
      <c r="I229" s="1" t="s">
        <v>439</v>
      </c>
      <c r="J229" s="1" t="s">
        <v>439</v>
      </c>
    </row>
    <row r="230" spans="4:10" x14ac:dyDescent="0.2">
      <c r="D230" s="259" t="s">
        <v>439</v>
      </c>
      <c r="E230" s="1" t="s">
        <v>439</v>
      </c>
      <c r="F230" s="1" t="s">
        <v>439</v>
      </c>
      <c r="G230" s="9" t="s">
        <v>439</v>
      </c>
      <c r="H230" s="1" t="s">
        <v>439</v>
      </c>
      <c r="I230" s="1" t="s">
        <v>439</v>
      </c>
      <c r="J230" s="1" t="s">
        <v>439</v>
      </c>
    </row>
    <row r="231" spans="4:10" x14ac:dyDescent="0.2">
      <c r="D231" s="259" t="s">
        <v>439</v>
      </c>
      <c r="E231" s="1" t="s">
        <v>439</v>
      </c>
      <c r="F231" s="1" t="s">
        <v>439</v>
      </c>
      <c r="G231" s="9" t="s">
        <v>439</v>
      </c>
      <c r="H231" s="1" t="s">
        <v>439</v>
      </c>
      <c r="I231" s="1" t="s">
        <v>439</v>
      </c>
      <c r="J231" s="1" t="s">
        <v>439</v>
      </c>
    </row>
    <row r="232" spans="4:10" x14ac:dyDescent="0.2">
      <c r="D232" s="259" t="s">
        <v>439</v>
      </c>
      <c r="E232" s="1" t="s">
        <v>439</v>
      </c>
      <c r="F232" s="1" t="s">
        <v>439</v>
      </c>
      <c r="G232" s="9" t="s">
        <v>439</v>
      </c>
      <c r="H232" s="1" t="s">
        <v>439</v>
      </c>
      <c r="I232" s="1" t="s">
        <v>439</v>
      </c>
      <c r="J232" s="1" t="s">
        <v>439</v>
      </c>
    </row>
    <row r="233" spans="4:10" x14ac:dyDescent="0.2">
      <c r="D233" s="259" t="s">
        <v>439</v>
      </c>
      <c r="E233" s="1" t="s">
        <v>439</v>
      </c>
      <c r="F233" s="1" t="s">
        <v>439</v>
      </c>
      <c r="G233" s="9" t="s">
        <v>439</v>
      </c>
      <c r="H233" s="1" t="s">
        <v>439</v>
      </c>
      <c r="I233" s="1" t="s">
        <v>439</v>
      </c>
      <c r="J233" s="1" t="s">
        <v>439</v>
      </c>
    </row>
    <row r="234" spans="4:10" x14ac:dyDescent="0.2">
      <c r="D234" s="259" t="s">
        <v>439</v>
      </c>
      <c r="E234" s="1" t="s">
        <v>439</v>
      </c>
      <c r="F234" s="1" t="s">
        <v>439</v>
      </c>
      <c r="G234" s="9" t="s">
        <v>439</v>
      </c>
      <c r="H234" s="1" t="s">
        <v>439</v>
      </c>
      <c r="I234" s="1" t="s">
        <v>439</v>
      </c>
      <c r="J234" s="1" t="s">
        <v>439</v>
      </c>
    </row>
    <row r="235" spans="4:10" x14ac:dyDescent="0.2">
      <c r="D235" s="259" t="s">
        <v>439</v>
      </c>
      <c r="E235" s="1" t="s">
        <v>439</v>
      </c>
      <c r="F235" s="1" t="s">
        <v>439</v>
      </c>
      <c r="G235" s="9" t="s">
        <v>439</v>
      </c>
      <c r="H235" s="1" t="s">
        <v>439</v>
      </c>
      <c r="I235" s="1" t="s">
        <v>439</v>
      </c>
      <c r="J235" s="1" t="s">
        <v>439</v>
      </c>
    </row>
    <row r="236" spans="4:10" x14ac:dyDescent="0.2">
      <c r="D236" s="259" t="s">
        <v>439</v>
      </c>
      <c r="E236" s="1" t="s">
        <v>439</v>
      </c>
      <c r="F236" s="1" t="s">
        <v>439</v>
      </c>
      <c r="G236" s="9" t="s">
        <v>439</v>
      </c>
      <c r="H236" s="1" t="s">
        <v>439</v>
      </c>
      <c r="I236" s="1" t="s">
        <v>439</v>
      </c>
      <c r="J236" s="1" t="s">
        <v>439</v>
      </c>
    </row>
    <row r="237" spans="4:10" x14ac:dyDescent="0.2">
      <c r="D237" s="259" t="s">
        <v>439</v>
      </c>
      <c r="E237" s="1" t="s">
        <v>439</v>
      </c>
      <c r="F237" s="1" t="s">
        <v>439</v>
      </c>
      <c r="G237" s="9" t="s">
        <v>439</v>
      </c>
      <c r="H237" s="1" t="s">
        <v>439</v>
      </c>
      <c r="I237" s="1" t="s">
        <v>439</v>
      </c>
      <c r="J237" s="1" t="s">
        <v>439</v>
      </c>
    </row>
    <row r="238" spans="4:10" x14ac:dyDescent="0.2">
      <c r="D238" s="259" t="s">
        <v>439</v>
      </c>
      <c r="E238" s="1" t="s">
        <v>439</v>
      </c>
      <c r="F238" s="1" t="s">
        <v>439</v>
      </c>
      <c r="G238" s="9" t="s">
        <v>439</v>
      </c>
      <c r="H238" s="1" t="s">
        <v>439</v>
      </c>
      <c r="I238" s="1" t="s">
        <v>439</v>
      </c>
      <c r="J238" s="1" t="s">
        <v>439</v>
      </c>
    </row>
    <row r="239" spans="4:10" x14ac:dyDescent="0.2">
      <c r="D239" s="259" t="s">
        <v>439</v>
      </c>
      <c r="E239" s="1" t="s">
        <v>439</v>
      </c>
      <c r="F239" s="1" t="s">
        <v>439</v>
      </c>
      <c r="G239" s="9" t="s">
        <v>439</v>
      </c>
      <c r="H239" s="1" t="s">
        <v>439</v>
      </c>
      <c r="I239" s="1" t="s">
        <v>439</v>
      </c>
      <c r="J239" s="1" t="s">
        <v>439</v>
      </c>
    </row>
    <row r="240" spans="4:10" x14ac:dyDescent="0.2">
      <c r="D240" s="259" t="s">
        <v>439</v>
      </c>
      <c r="E240" s="1" t="s">
        <v>439</v>
      </c>
      <c r="F240" s="1" t="s">
        <v>439</v>
      </c>
      <c r="G240" s="9" t="s">
        <v>439</v>
      </c>
      <c r="H240" s="1" t="s">
        <v>439</v>
      </c>
      <c r="I240" s="1" t="s">
        <v>439</v>
      </c>
      <c r="J240" s="1" t="s">
        <v>439</v>
      </c>
    </row>
    <row r="241" spans="4:10" x14ac:dyDescent="0.2">
      <c r="D241" s="259" t="s">
        <v>439</v>
      </c>
      <c r="E241" s="1" t="s">
        <v>439</v>
      </c>
      <c r="F241" s="1" t="s">
        <v>439</v>
      </c>
      <c r="G241" s="9" t="s">
        <v>439</v>
      </c>
      <c r="H241" s="1" t="s">
        <v>439</v>
      </c>
      <c r="I241" s="1" t="s">
        <v>439</v>
      </c>
      <c r="J241" s="1" t="s">
        <v>439</v>
      </c>
    </row>
    <row r="242" spans="4:10" x14ac:dyDescent="0.2">
      <c r="D242" s="259" t="s">
        <v>439</v>
      </c>
      <c r="E242" s="1" t="s">
        <v>439</v>
      </c>
      <c r="F242" s="1" t="s">
        <v>439</v>
      </c>
      <c r="G242" s="9" t="s">
        <v>439</v>
      </c>
      <c r="H242" s="1" t="s">
        <v>439</v>
      </c>
      <c r="I242" s="1" t="s">
        <v>439</v>
      </c>
      <c r="J242" s="1" t="s">
        <v>439</v>
      </c>
    </row>
    <row r="243" spans="4:10" x14ac:dyDescent="0.2">
      <c r="D243" s="259" t="s">
        <v>439</v>
      </c>
      <c r="E243" s="1" t="s">
        <v>439</v>
      </c>
      <c r="F243" s="1" t="s">
        <v>439</v>
      </c>
      <c r="G243" s="9" t="s">
        <v>439</v>
      </c>
      <c r="H243" s="1" t="s">
        <v>439</v>
      </c>
      <c r="I243" s="1" t="s">
        <v>439</v>
      </c>
      <c r="J243" s="1" t="s">
        <v>439</v>
      </c>
    </row>
    <row r="244" spans="4:10" x14ac:dyDescent="0.2">
      <c r="D244" s="259" t="s">
        <v>439</v>
      </c>
      <c r="E244" s="1" t="s">
        <v>439</v>
      </c>
      <c r="F244" s="1" t="s">
        <v>439</v>
      </c>
      <c r="G244" s="9" t="s">
        <v>439</v>
      </c>
      <c r="H244" s="1" t="s">
        <v>439</v>
      </c>
      <c r="I244" s="1" t="s">
        <v>439</v>
      </c>
      <c r="J244" s="1" t="s">
        <v>439</v>
      </c>
    </row>
    <row r="245" spans="4:10" x14ac:dyDescent="0.2">
      <c r="D245" s="259" t="s">
        <v>439</v>
      </c>
      <c r="E245" s="1" t="s">
        <v>439</v>
      </c>
      <c r="F245" s="1" t="s">
        <v>439</v>
      </c>
      <c r="G245" s="9" t="s">
        <v>439</v>
      </c>
      <c r="H245" s="1" t="s">
        <v>439</v>
      </c>
      <c r="I245" s="1" t="s">
        <v>439</v>
      </c>
      <c r="J245" s="1" t="s">
        <v>439</v>
      </c>
    </row>
    <row r="246" spans="4:10" x14ac:dyDescent="0.2">
      <c r="D246" s="259" t="s">
        <v>439</v>
      </c>
      <c r="E246" s="1" t="s">
        <v>439</v>
      </c>
      <c r="F246" s="1" t="s">
        <v>439</v>
      </c>
      <c r="G246" s="9" t="s">
        <v>439</v>
      </c>
      <c r="H246" s="1" t="s">
        <v>439</v>
      </c>
      <c r="I246" s="1" t="s">
        <v>439</v>
      </c>
      <c r="J246" s="1" t="s">
        <v>439</v>
      </c>
    </row>
    <row r="247" spans="4:10" x14ac:dyDescent="0.2">
      <c r="D247" s="259" t="s">
        <v>439</v>
      </c>
      <c r="E247" s="1" t="s">
        <v>439</v>
      </c>
      <c r="F247" s="1" t="s">
        <v>439</v>
      </c>
      <c r="G247" s="9" t="s">
        <v>439</v>
      </c>
      <c r="H247" s="1" t="s">
        <v>439</v>
      </c>
      <c r="I247" s="1" t="s">
        <v>439</v>
      </c>
      <c r="J247" s="1" t="s">
        <v>439</v>
      </c>
    </row>
    <row r="248" spans="4:10" x14ac:dyDescent="0.2">
      <c r="D248" s="259" t="s">
        <v>439</v>
      </c>
      <c r="E248" s="1" t="s">
        <v>439</v>
      </c>
      <c r="F248" s="1" t="s">
        <v>439</v>
      </c>
      <c r="G248" s="9" t="s">
        <v>439</v>
      </c>
      <c r="H248" s="1" t="s">
        <v>439</v>
      </c>
      <c r="I248" s="1" t="s">
        <v>439</v>
      </c>
      <c r="J248" s="1" t="s">
        <v>439</v>
      </c>
    </row>
    <row r="249" spans="4:10" x14ac:dyDescent="0.2">
      <c r="D249" s="259" t="s">
        <v>439</v>
      </c>
      <c r="E249" s="1" t="s">
        <v>439</v>
      </c>
      <c r="F249" s="1" t="s">
        <v>439</v>
      </c>
      <c r="G249" s="9" t="s">
        <v>439</v>
      </c>
      <c r="H249" s="1" t="s">
        <v>439</v>
      </c>
      <c r="I249" s="1" t="s">
        <v>439</v>
      </c>
      <c r="J249" s="1" t="s">
        <v>439</v>
      </c>
    </row>
    <row r="250" spans="4:10" x14ac:dyDescent="0.2">
      <c r="D250" s="259" t="s">
        <v>439</v>
      </c>
      <c r="E250" s="1" t="s">
        <v>439</v>
      </c>
      <c r="F250" s="1" t="s">
        <v>439</v>
      </c>
      <c r="G250" s="9" t="s">
        <v>439</v>
      </c>
      <c r="H250" s="1" t="s">
        <v>439</v>
      </c>
      <c r="I250" s="1" t="s">
        <v>439</v>
      </c>
      <c r="J250" s="1" t="s">
        <v>439</v>
      </c>
    </row>
    <row r="251" spans="4:10" x14ac:dyDescent="0.2">
      <c r="D251" s="259" t="s">
        <v>439</v>
      </c>
      <c r="E251" s="1" t="s">
        <v>439</v>
      </c>
      <c r="F251" s="1" t="s">
        <v>439</v>
      </c>
      <c r="G251" s="9" t="s">
        <v>439</v>
      </c>
      <c r="H251" s="1" t="s">
        <v>439</v>
      </c>
      <c r="I251" s="1" t="s">
        <v>439</v>
      </c>
      <c r="J251" s="1" t="s">
        <v>439</v>
      </c>
    </row>
    <row r="252" spans="4:10" x14ac:dyDescent="0.2">
      <c r="D252" s="259" t="s">
        <v>439</v>
      </c>
      <c r="E252" s="1" t="s">
        <v>439</v>
      </c>
      <c r="F252" s="1" t="s">
        <v>439</v>
      </c>
      <c r="G252" s="9" t="s">
        <v>439</v>
      </c>
      <c r="H252" s="1" t="s">
        <v>439</v>
      </c>
      <c r="I252" s="1" t="s">
        <v>439</v>
      </c>
      <c r="J252" s="1" t="s">
        <v>439</v>
      </c>
    </row>
    <row r="253" spans="4:10" x14ac:dyDescent="0.2">
      <c r="D253" s="259" t="s">
        <v>439</v>
      </c>
      <c r="E253" s="1" t="s">
        <v>439</v>
      </c>
      <c r="F253" s="1" t="s">
        <v>439</v>
      </c>
      <c r="G253" s="9" t="s">
        <v>439</v>
      </c>
      <c r="H253" s="1" t="s">
        <v>439</v>
      </c>
      <c r="I253" s="1" t="s">
        <v>439</v>
      </c>
      <c r="J253" s="1" t="s">
        <v>439</v>
      </c>
    </row>
    <row r="254" spans="4:10" x14ac:dyDescent="0.2">
      <c r="D254" s="259" t="s">
        <v>439</v>
      </c>
      <c r="E254" s="1" t="s">
        <v>439</v>
      </c>
      <c r="F254" s="1" t="s">
        <v>439</v>
      </c>
      <c r="G254" s="9" t="s">
        <v>439</v>
      </c>
      <c r="H254" s="1" t="s">
        <v>439</v>
      </c>
      <c r="I254" s="1" t="s">
        <v>439</v>
      </c>
      <c r="J254" s="1" t="s">
        <v>439</v>
      </c>
    </row>
    <row r="255" spans="4:10" x14ac:dyDescent="0.2">
      <c r="D255" s="259" t="s">
        <v>439</v>
      </c>
      <c r="E255" s="1" t="s">
        <v>439</v>
      </c>
      <c r="F255" s="1" t="s">
        <v>439</v>
      </c>
      <c r="G255" s="9" t="s">
        <v>439</v>
      </c>
      <c r="H255" s="1" t="s">
        <v>439</v>
      </c>
      <c r="I255" s="1" t="s">
        <v>439</v>
      </c>
      <c r="J255" s="1" t="s">
        <v>439</v>
      </c>
    </row>
    <row r="256" spans="4:10" x14ac:dyDescent="0.2">
      <c r="D256" s="259" t="s">
        <v>439</v>
      </c>
      <c r="E256" s="1" t="s">
        <v>439</v>
      </c>
      <c r="F256" s="1" t="s">
        <v>439</v>
      </c>
      <c r="G256" s="9" t="s">
        <v>439</v>
      </c>
      <c r="H256" s="1" t="s">
        <v>439</v>
      </c>
      <c r="I256" s="1" t="s">
        <v>439</v>
      </c>
      <c r="J256" s="1" t="s">
        <v>439</v>
      </c>
    </row>
    <row r="257" spans="4:10" x14ac:dyDescent="0.2">
      <c r="D257" s="259" t="s">
        <v>439</v>
      </c>
      <c r="E257" s="1" t="s">
        <v>439</v>
      </c>
      <c r="F257" s="1" t="s">
        <v>439</v>
      </c>
      <c r="G257" s="9" t="s">
        <v>439</v>
      </c>
      <c r="H257" s="1" t="s">
        <v>439</v>
      </c>
      <c r="I257" s="1" t="s">
        <v>439</v>
      </c>
      <c r="J257" s="1" t="s">
        <v>439</v>
      </c>
    </row>
    <row r="258" spans="4:10" x14ac:dyDescent="0.2">
      <c r="D258" s="259" t="s">
        <v>439</v>
      </c>
      <c r="E258" s="1" t="s">
        <v>439</v>
      </c>
      <c r="F258" s="1" t="s">
        <v>439</v>
      </c>
      <c r="G258" s="9" t="s">
        <v>439</v>
      </c>
      <c r="H258" s="1" t="s">
        <v>439</v>
      </c>
      <c r="I258" s="1" t="s">
        <v>439</v>
      </c>
      <c r="J258" s="1" t="s">
        <v>439</v>
      </c>
    </row>
    <row r="259" spans="4:10" x14ac:dyDescent="0.2">
      <c r="D259" s="259" t="s">
        <v>439</v>
      </c>
      <c r="E259" s="1" t="s">
        <v>439</v>
      </c>
      <c r="F259" s="1" t="s">
        <v>439</v>
      </c>
      <c r="G259" s="9" t="s">
        <v>439</v>
      </c>
      <c r="H259" s="1" t="s">
        <v>439</v>
      </c>
      <c r="I259" s="1" t="s">
        <v>439</v>
      </c>
      <c r="J259" s="1" t="s">
        <v>439</v>
      </c>
    </row>
    <row r="260" spans="4:10" x14ac:dyDescent="0.2">
      <c r="D260" s="259" t="s">
        <v>439</v>
      </c>
      <c r="E260" s="1" t="s">
        <v>439</v>
      </c>
      <c r="F260" s="1" t="s">
        <v>439</v>
      </c>
      <c r="G260" s="9" t="s">
        <v>439</v>
      </c>
      <c r="H260" s="1" t="s">
        <v>439</v>
      </c>
      <c r="I260" s="1" t="s">
        <v>439</v>
      </c>
      <c r="J260" s="1" t="s">
        <v>439</v>
      </c>
    </row>
    <row r="261" spans="4:10" x14ac:dyDescent="0.2">
      <c r="D261" s="259" t="s">
        <v>439</v>
      </c>
      <c r="E261" s="1" t="s">
        <v>439</v>
      </c>
      <c r="F261" s="1" t="s">
        <v>439</v>
      </c>
      <c r="G261" s="9" t="s">
        <v>439</v>
      </c>
      <c r="H261" s="1" t="s">
        <v>439</v>
      </c>
      <c r="I261" s="1" t="s">
        <v>439</v>
      </c>
      <c r="J261" s="1" t="s">
        <v>439</v>
      </c>
    </row>
    <row r="262" spans="4:10" x14ac:dyDescent="0.2">
      <c r="D262" s="259" t="s">
        <v>439</v>
      </c>
      <c r="E262" s="1" t="s">
        <v>439</v>
      </c>
      <c r="F262" s="1" t="s">
        <v>439</v>
      </c>
      <c r="G262" s="9" t="s">
        <v>439</v>
      </c>
      <c r="H262" s="1" t="s">
        <v>439</v>
      </c>
      <c r="I262" s="1" t="s">
        <v>439</v>
      </c>
      <c r="J262" s="1" t="s">
        <v>439</v>
      </c>
    </row>
    <row r="263" spans="4:10" x14ac:dyDescent="0.2">
      <c r="D263" s="259" t="s">
        <v>439</v>
      </c>
      <c r="E263" s="1" t="s">
        <v>439</v>
      </c>
      <c r="F263" s="1" t="s">
        <v>439</v>
      </c>
      <c r="G263" s="9" t="s">
        <v>439</v>
      </c>
      <c r="H263" s="1" t="s">
        <v>439</v>
      </c>
      <c r="I263" s="1" t="s">
        <v>439</v>
      </c>
      <c r="J263" s="1" t="s">
        <v>439</v>
      </c>
    </row>
    <row r="264" spans="4:10" x14ac:dyDescent="0.2">
      <c r="D264" s="259" t="s">
        <v>439</v>
      </c>
      <c r="E264" s="1" t="s">
        <v>439</v>
      </c>
      <c r="F264" s="1" t="s">
        <v>439</v>
      </c>
      <c r="G264" s="9" t="s">
        <v>439</v>
      </c>
      <c r="H264" s="1" t="s">
        <v>439</v>
      </c>
      <c r="I264" s="1" t="s">
        <v>439</v>
      </c>
      <c r="J264" s="1" t="s">
        <v>439</v>
      </c>
    </row>
    <row r="265" spans="4:10" x14ac:dyDescent="0.2">
      <c r="D265" s="259" t="s">
        <v>439</v>
      </c>
      <c r="E265" s="1" t="s">
        <v>439</v>
      </c>
      <c r="F265" s="1" t="s">
        <v>439</v>
      </c>
      <c r="G265" s="9" t="s">
        <v>439</v>
      </c>
      <c r="H265" s="1" t="s">
        <v>439</v>
      </c>
      <c r="I265" s="1" t="s">
        <v>439</v>
      </c>
      <c r="J265" s="1" t="s">
        <v>439</v>
      </c>
    </row>
    <row r="266" spans="4:10" x14ac:dyDescent="0.2">
      <c r="D266" s="259" t="s">
        <v>439</v>
      </c>
      <c r="E266" s="1" t="s">
        <v>439</v>
      </c>
      <c r="F266" s="1" t="s">
        <v>439</v>
      </c>
      <c r="G266" s="9" t="s">
        <v>439</v>
      </c>
      <c r="H266" s="1" t="s">
        <v>439</v>
      </c>
      <c r="I266" s="1" t="s">
        <v>439</v>
      </c>
      <c r="J266" s="1" t="s">
        <v>439</v>
      </c>
    </row>
    <row r="267" spans="4:10" x14ac:dyDescent="0.2">
      <c r="D267" s="259" t="s">
        <v>439</v>
      </c>
      <c r="E267" s="1" t="s">
        <v>439</v>
      </c>
      <c r="F267" s="1" t="s">
        <v>439</v>
      </c>
      <c r="G267" s="9" t="s">
        <v>439</v>
      </c>
      <c r="H267" s="1" t="s">
        <v>439</v>
      </c>
      <c r="I267" s="1" t="s">
        <v>439</v>
      </c>
      <c r="J267" s="1" t="s">
        <v>439</v>
      </c>
    </row>
    <row r="268" spans="4:10" x14ac:dyDescent="0.2">
      <c r="D268" s="259" t="s">
        <v>439</v>
      </c>
      <c r="E268" s="1" t="s">
        <v>439</v>
      </c>
      <c r="F268" s="1" t="s">
        <v>439</v>
      </c>
      <c r="G268" s="9" t="s">
        <v>439</v>
      </c>
      <c r="H268" s="1" t="s">
        <v>439</v>
      </c>
      <c r="I268" s="1" t="s">
        <v>439</v>
      </c>
      <c r="J268" s="1" t="s">
        <v>439</v>
      </c>
    </row>
    <row r="269" spans="4:10" x14ac:dyDescent="0.2">
      <c r="D269" s="259" t="s">
        <v>439</v>
      </c>
      <c r="E269" s="1" t="s">
        <v>439</v>
      </c>
      <c r="F269" s="1" t="s">
        <v>439</v>
      </c>
      <c r="G269" s="9" t="s">
        <v>439</v>
      </c>
      <c r="H269" s="1" t="s">
        <v>439</v>
      </c>
      <c r="I269" s="1" t="s">
        <v>439</v>
      </c>
      <c r="J269" s="1" t="s">
        <v>439</v>
      </c>
    </row>
    <row r="270" spans="4:10" x14ac:dyDescent="0.2">
      <c r="D270" s="259" t="s">
        <v>439</v>
      </c>
      <c r="E270" s="1" t="s">
        <v>439</v>
      </c>
      <c r="F270" s="1" t="s">
        <v>439</v>
      </c>
      <c r="G270" s="9" t="s">
        <v>439</v>
      </c>
      <c r="H270" s="1" t="s">
        <v>439</v>
      </c>
      <c r="I270" s="1" t="s">
        <v>439</v>
      </c>
      <c r="J270" s="1" t="s">
        <v>439</v>
      </c>
    </row>
    <row r="271" spans="4:10" x14ac:dyDescent="0.2">
      <c r="D271" s="259" t="s">
        <v>439</v>
      </c>
      <c r="E271" s="1" t="s">
        <v>439</v>
      </c>
      <c r="F271" s="1" t="s">
        <v>439</v>
      </c>
      <c r="G271" s="9" t="s">
        <v>439</v>
      </c>
      <c r="H271" s="1" t="s">
        <v>439</v>
      </c>
      <c r="I271" s="1" t="s">
        <v>439</v>
      </c>
      <c r="J271" s="1" t="s">
        <v>439</v>
      </c>
    </row>
    <row r="272" spans="4:10" x14ac:dyDescent="0.2">
      <c r="D272" s="259" t="s">
        <v>439</v>
      </c>
      <c r="E272" s="1" t="s">
        <v>439</v>
      </c>
      <c r="F272" s="1" t="s">
        <v>439</v>
      </c>
      <c r="G272" s="9" t="s">
        <v>439</v>
      </c>
      <c r="H272" s="1" t="s">
        <v>439</v>
      </c>
      <c r="I272" s="1" t="s">
        <v>439</v>
      </c>
      <c r="J272" s="1" t="s">
        <v>439</v>
      </c>
    </row>
    <row r="273" spans="4:10" x14ac:dyDescent="0.2">
      <c r="D273" s="259" t="s">
        <v>439</v>
      </c>
      <c r="E273" s="1" t="s">
        <v>439</v>
      </c>
      <c r="F273" s="1" t="s">
        <v>439</v>
      </c>
      <c r="G273" s="9" t="s">
        <v>439</v>
      </c>
      <c r="H273" s="1" t="s">
        <v>439</v>
      </c>
      <c r="I273" s="1" t="s">
        <v>439</v>
      </c>
      <c r="J273" s="1" t="s">
        <v>439</v>
      </c>
    </row>
    <row r="274" spans="4:10" x14ac:dyDescent="0.2">
      <c r="D274" s="259" t="s">
        <v>439</v>
      </c>
      <c r="E274" s="1" t="s">
        <v>439</v>
      </c>
      <c r="F274" s="1" t="s">
        <v>439</v>
      </c>
      <c r="G274" s="9" t="s">
        <v>439</v>
      </c>
      <c r="H274" s="1" t="s">
        <v>439</v>
      </c>
      <c r="I274" s="1" t="s">
        <v>439</v>
      </c>
      <c r="J274" s="1" t="s">
        <v>439</v>
      </c>
    </row>
    <row r="275" spans="4:10" x14ac:dyDescent="0.2">
      <c r="D275" s="259" t="s">
        <v>439</v>
      </c>
      <c r="E275" s="1" t="s">
        <v>439</v>
      </c>
      <c r="F275" s="1" t="s">
        <v>439</v>
      </c>
      <c r="G275" s="9" t="s">
        <v>439</v>
      </c>
      <c r="H275" s="1" t="s">
        <v>439</v>
      </c>
      <c r="I275" s="1" t="s">
        <v>439</v>
      </c>
      <c r="J275" s="1" t="s">
        <v>439</v>
      </c>
    </row>
    <row r="276" spans="4:10" x14ac:dyDescent="0.2">
      <c r="D276" s="259" t="s">
        <v>439</v>
      </c>
      <c r="E276" s="1" t="s">
        <v>439</v>
      </c>
      <c r="F276" s="1" t="s">
        <v>439</v>
      </c>
      <c r="G276" s="9" t="s">
        <v>439</v>
      </c>
      <c r="H276" s="1" t="s">
        <v>439</v>
      </c>
      <c r="I276" s="1" t="s">
        <v>439</v>
      </c>
      <c r="J276" s="1" t="s">
        <v>439</v>
      </c>
    </row>
    <row r="277" spans="4:10" x14ac:dyDescent="0.2">
      <c r="D277" s="259" t="s">
        <v>439</v>
      </c>
      <c r="E277" s="1" t="s">
        <v>439</v>
      </c>
      <c r="F277" s="1" t="s">
        <v>439</v>
      </c>
      <c r="G277" s="9" t="s">
        <v>439</v>
      </c>
      <c r="H277" s="1" t="s">
        <v>439</v>
      </c>
      <c r="I277" s="1" t="s">
        <v>439</v>
      </c>
      <c r="J277" s="1" t="s">
        <v>439</v>
      </c>
    </row>
    <row r="278" spans="4:10" x14ac:dyDescent="0.2">
      <c r="D278" s="259" t="s">
        <v>439</v>
      </c>
      <c r="E278" s="1" t="s">
        <v>439</v>
      </c>
      <c r="F278" s="1" t="s">
        <v>439</v>
      </c>
      <c r="G278" s="9" t="s">
        <v>439</v>
      </c>
      <c r="H278" s="1" t="s">
        <v>439</v>
      </c>
      <c r="I278" s="1" t="s">
        <v>439</v>
      </c>
      <c r="J278" s="1" t="s">
        <v>439</v>
      </c>
    </row>
    <row r="279" spans="4:10" x14ac:dyDescent="0.2">
      <c r="D279" s="259" t="s">
        <v>439</v>
      </c>
      <c r="E279" s="1" t="s">
        <v>439</v>
      </c>
      <c r="F279" s="1" t="s">
        <v>439</v>
      </c>
      <c r="G279" s="9" t="s">
        <v>439</v>
      </c>
      <c r="H279" s="1" t="s">
        <v>439</v>
      </c>
      <c r="I279" s="1" t="s">
        <v>439</v>
      </c>
      <c r="J279" s="1" t="s">
        <v>439</v>
      </c>
    </row>
    <row r="280" spans="4:10" x14ac:dyDescent="0.2">
      <c r="D280" s="259" t="s">
        <v>439</v>
      </c>
      <c r="E280" s="1" t="s">
        <v>439</v>
      </c>
      <c r="F280" s="1" t="s">
        <v>439</v>
      </c>
      <c r="G280" s="9" t="s">
        <v>439</v>
      </c>
      <c r="H280" s="1" t="s">
        <v>439</v>
      </c>
      <c r="I280" s="1" t="s">
        <v>439</v>
      </c>
      <c r="J280" s="1" t="s">
        <v>439</v>
      </c>
    </row>
    <row r="281" spans="4:10" x14ac:dyDescent="0.2">
      <c r="D281" s="259" t="s">
        <v>439</v>
      </c>
      <c r="E281" s="1" t="s">
        <v>439</v>
      </c>
      <c r="F281" s="1" t="s">
        <v>439</v>
      </c>
      <c r="G281" s="9" t="s">
        <v>439</v>
      </c>
      <c r="H281" s="1" t="s">
        <v>439</v>
      </c>
      <c r="I281" s="1" t="s">
        <v>439</v>
      </c>
      <c r="J281" s="1" t="s">
        <v>439</v>
      </c>
    </row>
    <row r="282" spans="4:10" x14ac:dyDescent="0.2">
      <c r="D282" s="259" t="s">
        <v>439</v>
      </c>
      <c r="E282" s="1" t="s">
        <v>439</v>
      </c>
      <c r="F282" s="1" t="s">
        <v>439</v>
      </c>
      <c r="G282" s="9" t="s">
        <v>439</v>
      </c>
      <c r="H282" s="1" t="s">
        <v>439</v>
      </c>
      <c r="I282" s="1" t="s">
        <v>439</v>
      </c>
      <c r="J282" s="1" t="s">
        <v>439</v>
      </c>
    </row>
    <row r="283" spans="4:10" x14ac:dyDescent="0.2">
      <c r="D283" s="259" t="s">
        <v>439</v>
      </c>
      <c r="E283" s="1" t="s">
        <v>439</v>
      </c>
      <c r="F283" s="1" t="s">
        <v>439</v>
      </c>
      <c r="G283" s="9" t="s">
        <v>439</v>
      </c>
      <c r="H283" s="1" t="s">
        <v>439</v>
      </c>
      <c r="I283" s="1" t="s">
        <v>439</v>
      </c>
      <c r="J283" s="1" t="s">
        <v>439</v>
      </c>
    </row>
    <row r="284" spans="4:10" x14ac:dyDescent="0.2">
      <c r="D284" s="259" t="s">
        <v>439</v>
      </c>
      <c r="E284" s="1" t="s">
        <v>439</v>
      </c>
      <c r="F284" s="1" t="s">
        <v>439</v>
      </c>
      <c r="G284" s="9" t="s">
        <v>439</v>
      </c>
      <c r="H284" s="1" t="s">
        <v>439</v>
      </c>
      <c r="I284" s="1" t="s">
        <v>439</v>
      </c>
      <c r="J284" s="1" t="s">
        <v>439</v>
      </c>
    </row>
    <row r="285" spans="4:10" x14ac:dyDescent="0.2">
      <c r="D285" s="259" t="s">
        <v>439</v>
      </c>
      <c r="E285" s="1" t="s">
        <v>439</v>
      </c>
      <c r="F285" s="1" t="s">
        <v>439</v>
      </c>
      <c r="G285" s="9" t="s">
        <v>439</v>
      </c>
      <c r="H285" s="1" t="s">
        <v>439</v>
      </c>
      <c r="I285" s="1" t="s">
        <v>439</v>
      </c>
      <c r="J285" s="1" t="s">
        <v>439</v>
      </c>
    </row>
    <row r="286" spans="4:10" x14ac:dyDescent="0.2">
      <c r="D286" s="259" t="s">
        <v>439</v>
      </c>
      <c r="E286" s="1" t="s">
        <v>439</v>
      </c>
      <c r="F286" s="1" t="s">
        <v>439</v>
      </c>
      <c r="G286" s="9" t="s">
        <v>439</v>
      </c>
      <c r="H286" s="1" t="s">
        <v>439</v>
      </c>
      <c r="I286" s="1" t="s">
        <v>439</v>
      </c>
      <c r="J286" s="1" t="s">
        <v>439</v>
      </c>
    </row>
    <row r="287" spans="4:10" x14ac:dyDescent="0.2">
      <c r="D287" s="259" t="s">
        <v>439</v>
      </c>
      <c r="E287" s="1" t="s">
        <v>439</v>
      </c>
      <c r="F287" s="1" t="s">
        <v>439</v>
      </c>
      <c r="G287" s="9" t="s">
        <v>439</v>
      </c>
      <c r="H287" s="1" t="s">
        <v>439</v>
      </c>
      <c r="I287" s="1" t="s">
        <v>439</v>
      </c>
      <c r="J287" s="1" t="s">
        <v>439</v>
      </c>
    </row>
    <row r="288" spans="4:10" x14ac:dyDescent="0.2">
      <c r="D288" s="259" t="s">
        <v>439</v>
      </c>
      <c r="E288" s="1" t="s">
        <v>439</v>
      </c>
      <c r="F288" s="1" t="s">
        <v>439</v>
      </c>
      <c r="G288" s="9" t="s">
        <v>439</v>
      </c>
      <c r="H288" s="1" t="s">
        <v>439</v>
      </c>
      <c r="I288" s="1" t="s">
        <v>439</v>
      </c>
      <c r="J288" s="1" t="s">
        <v>439</v>
      </c>
    </row>
    <row r="289" spans="4:10" x14ac:dyDescent="0.2">
      <c r="D289" s="259" t="s">
        <v>439</v>
      </c>
      <c r="E289" s="1" t="s">
        <v>439</v>
      </c>
      <c r="F289" s="1" t="s">
        <v>439</v>
      </c>
      <c r="G289" s="9" t="s">
        <v>439</v>
      </c>
      <c r="H289" s="1" t="s">
        <v>439</v>
      </c>
      <c r="I289" s="1" t="s">
        <v>439</v>
      </c>
      <c r="J289" s="1" t="s">
        <v>439</v>
      </c>
    </row>
    <row r="290" spans="4:10" x14ac:dyDescent="0.2">
      <c r="D290" s="259" t="s">
        <v>439</v>
      </c>
      <c r="E290" s="1" t="s">
        <v>439</v>
      </c>
      <c r="F290" s="1" t="s">
        <v>439</v>
      </c>
      <c r="G290" s="9" t="s">
        <v>439</v>
      </c>
      <c r="H290" s="1" t="s">
        <v>439</v>
      </c>
      <c r="I290" s="1" t="s">
        <v>439</v>
      </c>
      <c r="J290" s="1" t="s">
        <v>439</v>
      </c>
    </row>
    <row r="291" spans="4:10" x14ac:dyDescent="0.2">
      <c r="D291" s="259" t="s">
        <v>439</v>
      </c>
      <c r="E291" s="1" t="s">
        <v>439</v>
      </c>
      <c r="F291" s="1" t="s">
        <v>439</v>
      </c>
      <c r="G291" s="9" t="s">
        <v>439</v>
      </c>
      <c r="H291" s="1" t="s">
        <v>439</v>
      </c>
      <c r="I291" s="1" t="s">
        <v>439</v>
      </c>
      <c r="J291" s="1" t="s">
        <v>439</v>
      </c>
    </row>
    <row r="292" spans="4:10" x14ac:dyDescent="0.2">
      <c r="D292" s="259" t="s">
        <v>439</v>
      </c>
      <c r="E292" s="1" t="s">
        <v>439</v>
      </c>
      <c r="F292" s="1" t="s">
        <v>439</v>
      </c>
      <c r="G292" s="9" t="s">
        <v>439</v>
      </c>
      <c r="H292" s="1" t="s">
        <v>439</v>
      </c>
      <c r="I292" s="1" t="s">
        <v>439</v>
      </c>
      <c r="J292" s="1" t="s">
        <v>439</v>
      </c>
    </row>
    <row r="293" spans="4:10" x14ac:dyDescent="0.2">
      <c r="D293" s="259" t="s">
        <v>439</v>
      </c>
      <c r="E293" s="1" t="s">
        <v>439</v>
      </c>
      <c r="F293" s="1" t="s">
        <v>439</v>
      </c>
      <c r="G293" s="9" t="s">
        <v>439</v>
      </c>
      <c r="H293" s="1" t="s">
        <v>439</v>
      </c>
      <c r="I293" s="1" t="s">
        <v>439</v>
      </c>
      <c r="J293" s="1" t="s">
        <v>439</v>
      </c>
    </row>
    <row r="294" spans="4:10" x14ac:dyDescent="0.2">
      <c r="D294" s="259" t="s">
        <v>439</v>
      </c>
      <c r="E294" s="1" t="s">
        <v>439</v>
      </c>
      <c r="F294" s="1" t="s">
        <v>439</v>
      </c>
      <c r="G294" s="9" t="s">
        <v>439</v>
      </c>
      <c r="H294" s="1" t="s">
        <v>439</v>
      </c>
      <c r="I294" s="1" t="s">
        <v>439</v>
      </c>
      <c r="J294" s="1" t="s">
        <v>439</v>
      </c>
    </row>
    <row r="295" spans="4:10" x14ac:dyDescent="0.2">
      <c r="D295" s="259" t="s">
        <v>439</v>
      </c>
      <c r="E295" s="1" t="s">
        <v>439</v>
      </c>
      <c r="F295" s="1" t="s">
        <v>439</v>
      </c>
      <c r="G295" s="9" t="s">
        <v>439</v>
      </c>
      <c r="H295" s="1" t="s">
        <v>439</v>
      </c>
      <c r="I295" s="1" t="s">
        <v>439</v>
      </c>
      <c r="J295" s="1" t="s">
        <v>439</v>
      </c>
    </row>
    <row r="296" spans="4:10" x14ac:dyDescent="0.2">
      <c r="D296" s="259" t="s">
        <v>439</v>
      </c>
      <c r="E296" s="1" t="s">
        <v>439</v>
      </c>
      <c r="F296" s="1" t="s">
        <v>439</v>
      </c>
      <c r="G296" s="9" t="s">
        <v>439</v>
      </c>
      <c r="H296" s="1" t="s">
        <v>439</v>
      </c>
      <c r="I296" s="1" t="s">
        <v>439</v>
      </c>
      <c r="J296" s="1" t="s">
        <v>439</v>
      </c>
    </row>
    <row r="297" spans="4:10" x14ac:dyDescent="0.2">
      <c r="D297" s="259" t="s">
        <v>439</v>
      </c>
      <c r="E297" s="1" t="s">
        <v>439</v>
      </c>
      <c r="F297" s="1" t="s">
        <v>439</v>
      </c>
      <c r="G297" s="9" t="s">
        <v>439</v>
      </c>
      <c r="H297" s="1" t="s">
        <v>439</v>
      </c>
      <c r="I297" s="1" t="s">
        <v>439</v>
      </c>
      <c r="J297" s="1" t="s">
        <v>439</v>
      </c>
    </row>
    <row r="298" spans="4:10" x14ac:dyDescent="0.2">
      <c r="D298" s="259" t="s">
        <v>439</v>
      </c>
      <c r="E298" s="1" t="s">
        <v>439</v>
      </c>
      <c r="F298" s="1" t="s">
        <v>439</v>
      </c>
      <c r="G298" s="9" t="s">
        <v>439</v>
      </c>
      <c r="H298" s="1" t="s">
        <v>439</v>
      </c>
      <c r="I298" s="1" t="s">
        <v>439</v>
      </c>
      <c r="J298" s="1" t="s">
        <v>439</v>
      </c>
    </row>
    <row r="299" spans="4:10" x14ac:dyDescent="0.2">
      <c r="D299" s="259" t="s">
        <v>439</v>
      </c>
      <c r="E299" s="1" t="s">
        <v>439</v>
      </c>
      <c r="F299" s="1" t="s">
        <v>439</v>
      </c>
      <c r="G299" s="9" t="s">
        <v>439</v>
      </c>
      <c r="H299" s="1" t="s">
        <v>439</v>
      </c>
      <c r="I299" s="1" t="s">
        <v>439</v>
      </c>
      <c r="J299" s="1" t="s">
        <v>439</v>
      </c>
    </row>
    <row r="300" spans="4:10" x14ac:dyDescent="0.2">
      <c r="D300" s="259" t="s">
        <v>439</v>
      </c>
      <c r="E300" s="1" t="s">
        <v>439</v>
      </c>
      <c r="F300" s="1" t="s">
        <v>439</v>
      </c>
      <c r="G300" s="9" t="s">
        <v>439</v>
      </c>
      <c r="H300" s="1" t="s">
        <v>439</v>
      </c>
      <c r="I300" s="1" t="s">
        <v>439</v>
      </c>
      <c r="J300" s="1" t="s">
        <v>439</v>
      </c>
    </row>
  </sheetData>
  <mergeCells count="5">
    <mergeCell ref="D3:K3"/>
    <mergeCell ref="E12:I12"/>
    <mergeCell ref="E6:I6"/>
    <mergeCell ref="E7:K7"/>
    <mergeCell ref="G8:H8"/>
  </mergeCells>
  <conditionalFormatting sqref="D17:L292">
    <cfRule type="expression" dxfId="1" priority="1">
      <formula>$D17&lt;&gt;""</formula>
    </cfRule>
  </conditionalFormatting>
  <dataValidations count="2">
    <dataValidation type="list" allowBlank="1" showInputMessage="1" showErrorMessage="1" sqref="H5">
      <formula1>PDPSource</formula1>
    </dataValidation>
    <dataValidation type="list" allowBlank="1" showInputMessage="1" showErrorMessage="1" sqref="K5">
      <formula1>Statues</formula1>
    </dataValidation>
  </dataValidations>
  <hyperlinks>
    <hyperlink ref="B2" location="Dashboard!A1" display="Dashboard"/>
    <hyperlink ref="B4" location="'Performance Stats'!A1" display="Performance Analysis"/>
    <hyperlink ref="B6" location="'TD Planner'!A1" display="TD Planner"/>
    <hyperlink ref="B10" location="'Urgent Escalation'!A1" display="Urgent Escalation"/>
    <hyperlink ref="B14" location="'Existing Bonus File'!A1" display="Contact Review File"/>
    <hyperlink ref="B8" location="'Employee Management'!A1" display="Staff Record"/>
    <hyperlink ref="B12" location="PDP!A1" display="PDP"/>
    <hyperlink ref="B16" location="'Meeting Log'!A1" display="Meeting Log"/>
  </hyperlinks>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x14:formula1>
            <xm:f>Staffs!$A:$A</xm:f>
          </x14:formula1>
          <xm:sqref>E5 E13</xm:sqref>
        </x14:dataValidation>
        <x14:dataValidation type="list" allowBlank="1" showInputMessage="1">
          <x14:formula1>
            <xm:f>TeamLeader!$A:$A</xm:f>
          </x14:formula1>
          <xm:sqref>I13</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Z301"/>
  <sheetViews>
    <sheetView workbookViewId="0">
      <selection activeCell="J14" sqref="J14"/>
    </sheetView>
  </sheetViews>
  <sheetFormatPr defaultRowHeight="12.75" x14ac:dyDescent="0.2"/>
  <cols>
    <col min="1" max="1" width="0.5703125" style="246" customWidth="1"/>
    <col min="2" max="2" width="17.42578125" style="246" bestFit="1" customWidth="1"/>
    <col min="3" max="3" width="9.140625" style="1"/>
    <col min="4" max="4" width="25.5703125" style="259" bestFit="1" customWidth="1"/>
    <col min="5" max="5" width="15.140625" style="1" bestFit="1" customWidth="1"/>
    <col min="6" max="6" width="26.7109375" style="1" customWidth="1"/>
    <col min="7" max="7" width="20.140625" style="9" bestFit="1" customWidth="1"/>
    <col min="8" max="8" width="22.28515625" style="1" bestFit="1" customWidth="1"/>
    <col min="9" max="9" width="18.140625" style="1" customWidth="1"/>
    <col min="10" max="10" width="24.5703125" style="1" bestFit="1" customWidth="1"/>
    <col min="11" max="11" width="23.42578125" style="1" customWidth="1"/>
    <col min="12" max="12" width="9.140625" style="119"/>
    <col min="13" max="13" width="9.140625" style="10"/>
    <col min="14" max="14" width="37.28515625" style="252" customWidth="1"/>
    <col min="15" max="15" width="22.85546875" style="1" customWidth="1"/>
    <col min="16" max="18" width="9.140625" style="1"/>
    <col min="19" max="19" width="12.42578125" style="1" bestFit="1" customWidth="1"/>
    <col min="20" max="20" width="9.140625" style="1"/>
    <col min="21" max="21" width="10.140625" style="1" bestFit="1" customWidth="1"/>
    <col min="22" max="16384" width="9.140625" style="1"/>
  </cols>
  <sheetData>
    <row r="1" spans="1:26" s="127" customFormat="1" ht="36.75" customHeight="1" x14ac:dyDescent="0.2">
      <c r="A1" s="142"/>
      <c r="B1" s="142"/>
      <c r="D1" s="251"/>
      <c r="G1" s="141"/>
      <c r="L1" s="140"/>
      <c r="N1" s="328"/>
      <c r="O1" s="140"/>
      <c r="P1" s="141"/>
      <c r="Y1" s="256">
        <v>29221</v>
      </c>
      <c r="Z1" s="255">
        <v>111111</v>
      </c>
    </row>
    <row r="2" spans="1:26" x14ac:dyDescent="0.2">
      <c r="B2" s="248" t="s">
        <v>119</v>
      </c>
    </row>
    <row r="3" spans="1:26" x14ac:dyDescent="0.2">
      <c r="D3" s="410" t="s">
        <v>617</v>
      </c>
      <c r="E3" s="411"/>
      <c r="F3" s="411"/>
      <c r="G3" s="411"/>
      <c r="H3" s="411"/>
      <c r="I3" s="411"/>
      <c r="J3" s="411"/>
      <c r="K3" s="412"/>
      <c r="N3" s="330" t="s">
        <v>618</v>
      </c>
      <c r="O3" s="276"/>
      <c r="U3" s="300">
        <v>32874</v>
      </c>
    </row>
    <row r="4" spans="1:26" x14ac:dyDescent="0.2">
      <c r="B4" s="248" t="s">
        <v>435</v>
      </c>
      <c r="D4" s="271"/>
      <c r="E4" s="2"/>
      <c r="F4" s="2"/>
      <c r="G4" s="267"/>
      <c r="H4" s="2"/>
      <c r="I4" s="2"/>
      <c r="J4" s="2"/>
      <c r="K4" s="2"/>
    </row>
    <row r="5" spans="1:26" x14ac:dyDescent="0.2">
      <c r="D5" s="271" t="s">
        <v>134</v>
      </c>
      <c r="E5" s="297"/>
      <c r="G5" s="9" t="s">
        <v>442</v>
      </c>
      <c r="H5" s="301"/>
      <c r="J5" s="1" t="s">
        <v>619</v>
      </c>
      <c r="K5" s="302"/>
    </row>
    <row r="6" spans="1:26" x14ac:dyDescent="0.2">
      <c r="B6" s="248" t="s">
        <v>441</v>
      </c>
      <c r="D6" s="303" t="s">
        <v>620</v>
      </c>
      <c r="E6" s="297"/>
      <c r="G6" s="9" t="s">
        <v>615</v>
      </c>
      <c r="H6" s="304"/>
      <c r="J6" s="1" t="s">
        <v>621</v>
      </c>
      <c r="K6" s="80"/>
    </row>
    <row r="7" spans="1:26" x14ac:dyDescent="0.2">
      <c r="B7" s="248"/>
      <c r="D7" s="303" t="s">
        <v>636</v>
      </c>
      <c r="E7" s="360"/>
      <c r="F7" s="360"/>
      <c r="G7" s="360"/>
      <c r="H7" s="360"/>
      <c r="I7" s="360"/>
      <c r="J7" s="360"/>
      <c r="K7" s="360"/>
    </row>
    <row r="8" spans="1:26" x14ac:dyDescent="0.2">
      <c r="D8" s="259" t="s">
        <v>353</v>
      </c>
      <c r="E8" s="360"/>
      <c r="F8" s="360"/>
      <c r="G8" s="360"/>
      <c r="H8" s="360"/>
      <c r="I8" s="360"/>
      <c r="J8" s="360"/>
      <c r="K8" s="360"/>
    </row>
    <row r="9" spans="1:26" ht="15" x14ac:dyDescent="0.2">
      <c r="B9" s="248" t="s">
        <v>436</v>
      </c>
      <c r="D9" s="259" t="s">
        <v>140</v>
      </c>
      <c r="E9" s="6"/>
      <c r="F9" s="305" t="s">
        <v>618</v>
      </c>
      <c r="G9" s="415"/>
      <c r="H9" s="415"/>
      <c r="I9" s="2"/>
      <c r="J9" s="2"/>
      <c r="K9" s="2"/>
    </row>
    <row r="10" spans="1:26" ht="13.5" thickBot="1" x14ac:dyDescent="0.25">
      <c r="D10" s="272"/>
      <c r="E10" s="109"/>
      <c r="F10" s="109"/>
      <c r="G10" s="268"/>
      <c r="H10" s="109"/>
      <c r="I10" s="109"/>
      <c r="J10" s="109"/>
      <c r="K10" s="109"/>
    </row>
    <row r="11" spans="1:26" x14ac:dyDescent="0.2">
      <c r="B11" s="248" t="s">
        <v>378</v>
      </c>
      <c r="D11" s="271"/>
      <c r="E11" s="2"/>
      <c r="F11" s="2"/>
      <c r="G11" s="267"/>
      <c r="H11" s="2"/>
      <c r="I11" s="2"/>
      <c r="J11" s="2"/>
      <c r="K11" s="2"/>
    </row>
    <row r="12" spans="1:26" x14ac:dyDescent="0.2">
      <c r="D12" s="271"/>
      <c r="E12" s="12"/>
      <c r="H12" s="12"/>
      <c r="K12" s="12"/>
    </row>
    <row r="13" spans="1:26" x14ac:dyDescent="0.2">
      <c r="B13" s="248" t="s">
        <v>437</v>
      </c>
      <c r="E13" s="413"/>
      <c r="F13" s="413"/>
      <c r="G13" s="413"/>
      <c r="H13" s="413"/>
      <c r="I13" s="413"/>
      <c r="J13" s="10"/>
      <c r="K13" s="23"/>
    </row>
    <row r="14" spans="1:26" x14ac:dyDescent="0.2">
      <c r="D14" s="273" t="s">
        <v>134</v>
      </c>
      <c r="E14" s="276"/>
      <c r="I14" s="119" t="s">
        <v>2</v>
      </c>
      <c r="J14" s="80"/>
    </row>
    <row r="15" spans="1:26" x14ac:dyDescent="0.2">
      <c r="B15" s="248" t="s">
        <v>617</v>
      </c>
      <c r="K15" s="2"/>
    </row>
    <row r="16" spans="1:26" x14ac:dyDescent="0.2">
      <c r="D16" s="273" t="s">
        <v>622</v>
      </c>
      <c r="E16" s="16"/>
      <c r="F16" s="10"/>
      <c r="G16" s="16"/>
      <c r="H16" s="10"/>
      <c r="I16" s="10"/>
      <c r="J16" s="10"/>
      <c r="K16" s="2"/>
    </row>
    <row r="17" spans="4:14" x14ac:dyDescent="0.2">
      <c r="D17" s="274" t="s">
        <v>623</v>
      </c>
      <c r="E17" s="200" t="s">
        <v>611</v>
      </c>
      <c r="F17" s="269" t="s">
        <v>612</v>
      </c>
      <c r="G17" s="200" t="s">
        <v>613</v>
      </c>
      <c r="H17" s="200" t="s">
        <v>615</v>
      </c>
      <c r="I17" s="200" t="s">
        <v>614</v>
      </c>
      <c r="J17" s="200" t="s">
        <v>616</v>
      </c>
      <c r="K17" s="274" t="s">
        <v>76</v>
      </c>
      <c r="L17" s="311" t="s">
        <v>85</v>
      </c>
      <c r="M17" s="200" t="s">
        <v>86</v>
      </c>
      <c r="N17" s="329" t="s">
        <v>635</v>
      </c>
    </row>
    <row r="18" spans="4:14" ht="15" x14ac:dyDescent="0.2">
      <c r="D18" s="254"/>
      <c r="E18" s="23"/>
      <c r="F18" s="282"/>
      <c r="G18" s="23"/>
      <c r="H18" s="23"/>
      <c r="I18" s="12"/>
      <c r="J18" s="270"/>
      <c r="K18" s="12"/>
    </row>
    <row r="19" spans="4:14" ht="15" x14ac:dyDescent="0.2">
      <c r="D19" s="254"/>
      <c r="E19" s="23"/>
      <c r="F19" s="282"/>
      <c r="G19" s="23"/>
      <c r="H19" s="23"/>
      <c r="I19" s="12"/>
      <c r="J19" s="270"/>
      <c r="K19" s="10"/>
    </row>
    <row r="20" spans="4:14" ht="15" x14ac:dyDescent="0.2">
      <c r="D20" s="254"/>
      <c r="E20" s="23"/>
      <c r="F20" s="282"/>
      <c r="G20" s="23"/>
      <c r="H20" s="12"/>
      <c r="I20" s="12"/>
      <c r="J20" s="270"/>
      <c r="K20" s="10"/>
    </row>
    <row r="21" spans="4:14" x14ac:dyDescent="0.2">
      <c r="D21" s="254" t="s">
        <v>439</v>
      </c>
      <c r="E21" s="23" t="s">
        <v>439</v>
      </c>
      <c r="F21" s="282" t="s">
        <v>439</v>
      </c>
      <c r="G21" s="23" t="s">
        <v>439</v>
      </c>
      <c r="H21" s="12" t="s">
        <v>439</v>
      </c>
      <c r="I21" s="12" t="s">
        <v>439</v>
      </c>
      <c r="J21" s="12" t="s">
        <v>439</v>
      </c>
      <c r="K21" s="10" t="s">
        <v>439</v>
      </c>
      <c r="L21" s="119" t="s">
        <v>439</v>
      </c>
      <c r="M21" s="10" t="s">
        <v>439</v>
      </c>
      <c r="N21" s="252" t="s">
        <v>439</v>
      </c>
    </row>
    <row r="22" spans="4:14" x14ac:dyDescent="0.2">
      <c r="D22" s="254" t="s">
        <v>439</v>
      </c>
      <c r="E22" s="23" t="s">
        <v>439</v>
      </c>
      <c r="F22" s="282" t="s">
        <v>439</v>
      </c>
      <c r="G22" s="23" t="s">
        <v>439</v>
      </c>
      <c r="H22" s="12" t="s">
        <v>439</v>
      </c>
      <c r="I22" s="12" t="s">
        <v>439</v>
      </c>
      <c r="J22" s="12" t="s">
        <v>439</v>
      </c>
      <c r="K22" s="10" t="s">
        <v>439</v>
      </c>
      <c r="L22" s="119" t="s">
        <v>439</v>
      </c>
      <c r="M22" s="10" t="s">
        <v>439</v>
      </c>
      <c r="N22" s="252" t="s">
        <v>439</v>
      </c>
    </row>
    <row r="23" spans="4:14" ht="15" x14ac:dyDescent="0.2">
      <c r="D23" s="254" t="s">
        <v>439</v>
      </c>
      <c r="E23" s="23" t="s">
        <v>439</v>
      </c>
      <c r="F23" s="282" t="s">
        <v>439</v>
      </c>
      <c r="G23" s="23" t="s">
        <v>439</v>
      </c>
      <c r="H23" s="270" t="s">
        <v>439</v>
      </c>
      <c r="I23" s="12" t="s">
        <v>439</v>
      </c>
      <c r="J23" s="12" t="s">
        <v>439</v>
      </c>
      <c r="K23" s="10" t="s">
        <v>439</v>
      </c>
      <c r="L23" s="119" t="s">
        <v>439</v>
      </c>
      <c r="M23" s="10" t="s">
        <v>439</v>
      </c>
      <c r="N23" s="252" t="s">
        <v>439</v>
      </c>
    </row>
    <row r="24" spans="4:14" ht="15" x14ac:dyDescent="0.2">
      <c r="D24" s="254" t="s">
        <v>439</v>
      </c>
      <c r="E24" s="23" t="s">
        <v>439</v>
      </c>
      <c r="F24" s="282" t="s">
        <v>439</v>
      </c>
      <c r="G24" s="23" t="s">
        <v>439</v>
      </c>
      <c r="H24" s="270" t="s">
        <v>439</v>
      </c>
      <c r="I24" s="12" t="s">
        <v>439</v>
      </c>
      <c r="J24" s="270" t="s">
        <v>439</v>
      </c>
      <c r="K24" s="10" t="s">
        <v>439</v>
      </c>
      <c r="L24" s="119" t="s">
        <v>439</v>
      </c>
      <c r="M24" s="10" t="s">
        <v>439</v>
      </c>
      <c r="N24" s="252" t="s">
        <v>439</v>
      </c>
    </row>
    <row r="25" spans="4:14" ht="15" x14ac:dyDescent="0.2">
      <c r="D25" s="275" t="s">
        <v>439</v>
      </c>
      <c r="E25" s="23" t="s">
        <v>439</v>
      </c>
      <c r="F25" s="282" t="s">
        <v>439</v>
      </c>
      <c r="G25" s="23" t="s">
        <v>439</v>
      </c>
      <c r="H25" s="270" t="s">
        <v>439</v>
      </c>
      <c r="I25" s="12" t="s">
        <v>439</v>
      </c>
      <c r="J25" s="12" t="s">
        <v>439</v>
      </c>
      <c r="K25" s="10" t="s">
        <v>439</v>
      </c>
      <c r="L25" s="119" t="s">
        <v>439</v>
      </c>
      <c r="M25" s="10" t="s">
        <v>439</v>
      </c>
      <c r="N25" s="252" t="s">
        <v>439</v>
      </c>
    </row>
    <row r="26" spans="4:14" x14ac:dyDescent="0.2">
      <c r="D26" s="254" t="s">
        <v>439</v>
      </c>
      <c r="E26" s="23" t="s">
        <v>439</v>
      </c>
      <c r="F26" s="282" t="s">
        <v>439</v>
      </c>
      <c r="G26" s="23" t="s">
        <v>439</v>
      </c>
      <c r="H26" s="12" t="s">
        <v>439</v>
      </c>
      <c r="I26" s="12" t="s">
        <v>439</v>
      </c>
      <c r="J26" s="12" t="s">
        <v>439</v>
      </c>
      <c r="K26" s="10" t="s">
        <v>439</v>
      </c>
      <c r="L26" s="119" t="s">
        <v>439</v>
      </c>
      <c r="M26" s="10" t="s">
        <v>439</v>
      </c>
      <c r="N26" s="252" t="s">
        <v>439</v>
      </c>
    </row>
    <row r="27" spans="4:14" x14ac:dyDescent="0.2">
      <c r="D27" s="254" t="s">
        <v>439</v>
      </c>
      <c r="E27" s="23" t="s">
        <v>439</v>
      </c>
      <c r="F27" s="282" t="s">
        <v>439</v>
      </c>
      <c r="G27" s="23" t="s">
        <v>439</v>
      </c>
      <c r="H27" s="12" t="s">
        <v>439</v>
      </c>
      <c r="I27" s="12" t="s">
        <v>439</v>
      </c>
      <c r="J27" s="12" t="s">
        <v>439</v>
      </c>
      <c r="K27" s="10" t="s">
        <v>439</v>
      </c>
      <c r="L27" s="119" t="s">
        <v>439</v>
      </c>
      <c r="M27" s="10" t="s">
        <v>439</v>
      </c>
      <c r="N27" s="252" t="s">
        <v>439</v>
      </c>
    </row>
    <row r="28" spans="4:14" x14ac:dyDescent="0.2">
      <c r="D28" s="254" t="s">
        <v>439</v>
      </c>
      <c r="E28" s="23" t="s">
        <v>439</v>
      </c>
      <c r="F28" s="282" t="s">
        <v>439</v>
      </c>
      <c r="G28" s="23" t="s">
        <v>439</v>
      </c>
      <c r="H28" s="12" t="s">
        <v>439</v>
      </c>
      <c r="I28" s="12" t="s">
        <v>439</v>
      </c>
      <c r="J28" s="12" t="s">
        <v>439</v>
      </c>
      <c r="K28" s="10" t="s">
        <v>439</v>
      </c>
      <c r="L28" s="119" t="s">
        <v>439</v>
      </c>
      <c r="M28" s="10" t="s">
        <v>439</v>
      </c>
      <c r="N28" s="252" t="s">
        <v>439</v>
      </c>
    </row>
    <row r="29" spans="4:14" x14ac:dyDescent="0.2">
      <c r="D29" s="254" t="s">
        <v>439</v>
      </c>
      <c r="E29" s="23" t="s">
        <v>439</v>
      </c>
      <c r="F29" s="282" t="s">
        <v>439</v>
      </c>
      <c r="G29" s="23" t="s">
        <v>439</v>
      </c>
      <c r="H29" s="12" t="s">
        <v>439</v>
      </c>
      <c r="I29" s="12" t="s">
        <v>439</v>
      </c>
      <c r="J29" s="12" t="s">
        <v>439</v>
      </c>
      <c r="K29" s="10" t="s">
        <v>439</v>
      </c>
      <c r="L29" s="119" t="s">
        <v>439</v>
      </c>
      <c r="M29" s="10" t="s">
        <v>439</v>
      </c>
      <c r="N29" s="252" t="s">
        <v>439</v>
      </c>
    </row>
    <row r="30" spans="4:14" x14ac:dyDescent="0.2">
      <c r="D30" s="254" t="s">
        <v>439</v>
      </c>
      <c r="E30" s="23" t="s">
        <v>439</v>
      </c>
      <c r="F30" s="282" t="s">
        <v>439</v>
      </c>
      <c r="G30" s="23" t="s">
        <v>439</v>
      </c>
      <c r="H30" s="12" t="s">
        <v>439</v>
      </c>
      <c r="I30" s="12" t="s">
        <v>439</v>
      </c>
      <c r="J30" s="12" t="s">
        <v>439</v>
      </c>
      <c r="K30" s="10" t="s">
        <v>439</v>
      </c>
      <c r="L30" s="119" t="s">
        <v>439</v>
      </c>
      <c r="M30" s="10" t="s">
        <v>439</v>
      </c>
      <c r="N30" s="252" t="s">
        <v>439</v>
      </c>
    </row>
    <row r="31" spans="4:14" x14ac:dyDescent="0.2">
      <c r="D31" s="254" t="s">
        <v>439</v>
      </c>
      <c r="E31" s="23" t="s">
        <v>439</v>
      </c>
      <c r="F31" s="282" t="s">
        <v>439</v>
      </c>
      <c r="G31" s="23" t="s">
        <v>439</v>
      </c>
      <c r="H31" s="12" t="s">
        <v>439</v>
      </c>
      <c r="I31" s="12" t="s">
        <v>439</v>
      </c>
      <c r="J31" s="12" t="s">
        <v>439</v>
      </c>
      <c r="K31" s="10" t="s">
        <v>439</v>
      </c>
      <c r="L31" s="119" t="s">
        <v>439</v>
      </c>
      <c r="M31" s="10" t="s">
        <v>439</v>
      </c>
      <c r="N31" s="252" t="s">
        <v>439</v>
      </c>
    </row>
    <row r="32" spans="4:14" x14ac:dyDescent="0.2">
      <c r="D32" s="254" t="s">
        <v>439</v>
      </c>
      <c r="E32" s="23" t="s">
        <v>439</v>
      </c>
      <c r="F32" s="282" t="s">
        <v>439</v>
      </c>
      <c r="G32" s="23" t="s">
        <v>439</v>
      </c>
      <c r="H32" s="12" t="s">
        <v>439</v>
      </c>
      <c r="I32" s="12" t="s">
        <v>439</v>
      </c>
      <c r="J32" s="12" t="s">
        <v>439</v>
      </c>
      <c r="K32" s="10" t="s">
        <v>439</v>
      </c>
      <c r="L32" s="119" t="s">
        <v>439</v>
      </c>
      <c r="M32" s="10" t="s">
        <v>439</v>
      </c>
      <c r="N32" s="252" t="s">
        <v>439</v>
      </c>
    </row>
    <row r="33" spans="4:14" x14ac:dyDescent="0.2">
      <c r="D33" s="254" t="s">
        <v>439</v>
      </c>
      <c r="E33" s="23" t="s">
        <v>439</v>
      </c>
      <c r="F33" s="282" t="s">
        <v>439</v>
      </c>
      <c r="G33" s="23" t="s">
        <v>439</v>
      </c>
      <c r="H33" s="12" t="s">
        <v>439</v>
      </c>
      <c r="I33" s="12" t="s">
        <v>439</v>
      </c>
      <c r="J33" s="12" t="s">
        <v>439</v>
      </c>
      <c r="K33" s="10" t="s">
        <v>439</v>
      </c>
      <c r="L33" s="119" t="s">
        <v>439</v>
      </c>
      <c r="M33" s="10" t="s">
        <v>439</v>
      </c>
      <c r="N33" s="252" t="s">
        <v>439</v>
      </c>
    </row>
    <row r="34" spans="4:14" x14ac:dyDescent="0.2">
      <c r="D34" s="254" t="s">
        <v>439</v>
      </c>
      <c r="E34" s="23" t="s">
        <v>439</v>
      </c>
      <c r="F34" s="282" t="s">
        <v>439</v>
      </c>
      <c r="G34" s="23" t="s">
        <v>439</v>
      </c>
      <c r="H34" s="12" t="s">
        <v>439</v>
      </c>
      <c r="I34" s="12" t="s">
        <v>439</v>
      </c>
      <c r="J34" s="12" t="s">
        <v>439</v>
      </c>
      <c r="K34" s="10" t="s">
        <v>439</v>
      </c>
      <c r="L34" s="119" t="s">
        <v>439</v>
      </c>
      <c r="M34" s="10" t="s">
        <v>439</v>
      </c>
      <c r="N34" s="252" t="s">
        <v>439</v>
      </c>
    </row>
    <row r="35" spans="4:14" x14ac:dyDescent="0.2">
      <c r="D35" s="254" t="s">
        <v>439</v>
      </c>
      <c r="E35" s="23" t="s">
        <v>439</v>
      </c>
      <c r="F35" s="282" t="s">
        <v>439</v>
      </c>
      <c r="G35" s="23" t="s">
        <v>439</v>
      </c>
      <c r="H35" s="12" t="s">
        <v>439</v>
      </c>
      <c r="I35" s="12" t="s">
        <v>439</v>
      </c>
      <c r="J35" s="12" t="s">
        <v>439</v>
      </c>
      <c r="K35" s="10" t="s">
        <v>439</v>
      </c>
      <c r="L35" s="119" t="s">
        <v>439</v>
      </c>
      <c r="M35" s="10" t="s">
        <v>439</v>
      </c>
      <c r="N35" s="252" t="s">
        <v>439</v>
      </c>
    </row>
    <row r="36" spans="4:14" x14ac:dyDescent="0.2">
      <c r="D36" s="254" t="s">
        <v>439</v>
      </c>
      <c r="E36" s="23" t="s">
        <v>439</v>
      </c>
      <c r="F36" s="282" t="s">
        <v>439</v>
      </c>
      <c r="G36" s="23" t="s">
        <v>439</v>
      </c>
      <c r="H36" s="12" t="s">
        <v>439</v>
      </c>
      <c r="I36" s="12" t="s">
        <v>439</v>
      </c>
      <c r="J36" s="12" t="s">
        <v>439</v>
      </c>
      <c r="K36" s="10" t="s">
        <v>439</v>
      </c>
      <c r="L36" s="119" t="s">
        <v>439</v>
      </c>
      <c r="M36" s="10" t="s">
        <v>439</v>
      </c>
      <c r="N36" s="252" t="s">
        <v>439</v>
      </c>
    </row>
    <row r="37" spans="4:14" x14ac:dyDescent="0.2">
      <c r="D37" s="254" t="s">
        <v>439</v>
      </c>
      <c r="E37" s="23" t="s">
        <v>439</v>
      </c>
      <c r="F37" s="282" t="s">
        <v>439</v>
      </c>
      <c r="G37" s="23" t="s">
        <v>439</v>
      </c>
      <c r="H37" s="12" t="s">
        <v>439</v>
      </c>
      <c r="I37" s="12" t="s">
        <v>439</v>
      </c>
      <c r="J37" s="12" t="s">
        <v>439</v>
      </c>
      <c r="K37" s="10" t="s">
        <v>439</v>
      </c>
      <c r="L37" s="119" t="s">
        <v>439</v>
      </c>
      <c r="M37" s="10" t="s">
        <v>439</v>
      </c>
      <c r="N37" s="252" t="s">
        <v>439</v>
      </c>
    </row>
    <row r="38" spans="4:14" x14ac:dyDescent="0.2">
      <c r="D38" s="254" t="s">
        <v>439</v>
      </c>
      <c r="E38" s="23" t="s">
        <v>439</v>
      </c>
      <c r="F38" s="282" t="s">
        <v>439</v>
      </c>
      <c r="G38" s="23" t="s">
        <v>439</v>
      </c>
      <c r="H38" s="12" t="s">
        <v>439</v>
      </c>
      <c r="I38" s="12" t="s">
        <v>439</v>
      </c>
      <c r="J38" s="12" t="s">
        <v>439</v>
      </c>
      <c r="K38" s="10" t="s">
        <v>439</v>
      </c>
      <c r="L38" s="119" t="s">
        <v>439</v>
      </c>
      <c r="M38" s="10" t="s">
        <v>439</v>
      </c>
      <c r="N38" s="252" t="s">
        <v>439</v>
      </c>
    </row>
    <row r="39" spans="4:14" x14ac:dyDescent="0.2">
      <c r="D39" s="254" t="s">
        <v>439</v>
      </c>
      <c r="E39" s="23" t="s">
        <v>439</v>
      </c>
      <c r="F39" s="282" t="s">
        <v>439</v>
      </c>
      <c r="G39" s="23" t="s">
        <v>439</v>
      </c>
      <c r="H39" s="12" t="s">
        <v>439</v>
      </c>
      <c r="I39" s="12" t="s">
        <v>439</v>
      </c>
      <c r="J39" s="12" t="s">
        <v>439</v>
      </c>
      <c r="K39" s="10" t="s">
        <v>439</v>
      </c>
      <c r="L39" s="119" t="s">
        <v>439</v>
      </c>
      <c r="M39" s="10" t="s">
        <v>439</v>
      </c>
      <c r="N39" s="252" t="s">
        <v>439</v>
      </c>
    </row>
    <row r="40" spans="4:14" x14ac:dyDescent="0.2">
      <c r="D40" s="254" t="s">
        <v>439</v>
      </c>
      <c r="E40" s="23" t="s">
        <v>439</v>
      </c>
      <c r="F40" s="282" t="s">
        <v>439</v>
      </c>
      <c r="G40" s="23" t="s">
        <v>439</v>
      </c>
      <c r="H40" s="12" t="s">
        <v>439</v>
      </c>
      <c r="I40" s="12" t="s">
        <v>439</v>
      </c>
      <c r="J40" s="12" t="s">
        <v>439</v>
      </c>
      <c r="K40" s="10" t="s">
        <v>439</v>
      </c>
      <c r="L40" s="119" t="s">
        <v>439</v>
      </c>
      <c r="M40" s="10" t="s">
        <v>439</v>
      </c>
      <c r="N40" s="252" t="s">
        <v>439</v>
      </c>
    </row>
    <row r="41" spans="4:14" x14ac:dyDescent="0.2">
      <c r="D41" s="254" t="s">
        <v>439</v>
      </c>
      <c r="E41" s="23" t="s">
        <v>439</v>
      </c>
      <c r="F41" s="282" t="s">
        <v>439</v>
      </c>
      <c r="G41" s="23" t="s">
        <v>439</v>
      </c>
      <c r="H41" s="12" t="s">
        <v>439</v>
      </c>
      <c r="I41" s="12" t="s">
        <v>439</v>
      </c>
      <c r="J41" s="12" t="s">
        <v>439</v>
      </c>
      <c r="K41" s="10" t="s">
        <v>439</v>
      </c>
      <c r="L41" s="119" t="s">
        <v>439</v>
      </c>
      <c r="M41" s="10" t="s">
        <v>439</v>
      </c>
      <c r="N41" s="252" t="s">
        <v>439</v>
      </c>
    </row>
    <row r="42" spans="4:14" x14ac:dyDescent="0.2">
      <c r="D42" s="254" t="s">
        <v>439</v>
      </c>
      <c r="E42" s="23" t="s">
        <v>439</v>
      </c>
      <c r="F42" s="282" t="s">
        <v>439</v>
      </c>
      <c r="G42" s="23" t="s">
        <v>439</v>
      </c>
      <c r="H42" s="12" t="s">
        <v>439</v>
      </c>
      <c r="I42" s="12" t="s">
        <v>439</v>
      </c>
      <c r="J42" s="12" t="s">
        <v>439</v>
      </c>
      <c r="K42" s="10" t="s">
        <v>439</v>
      </c>
      <c r="L42" s="119" t="s">
        <v>439</v>
      </c>
      <c r="M42" s="10" t="s">
        <v>439</v>
      </c>
      <c r="N42" s="252" t="s">
        <v>439</v>
      </c>
    </row>
    <row r="43" spans="4:14" x14ac:dyDescent="0.2">
      <c r="D43" s="254" t="s">
        <v>439</v>
      </c>
      <c r="E43" s="23" t="s">
        <v>439</v>
      </c>
      <c r="F43" s="282" t="s">
        <v>439</v>
      </c>
      <c r="G43" s="23" t="s">
        <v>439</v>
      </c>
      <c r="H43" s="12" t="s">
        <v>439</v>
      </c>
      <c r="I43" s="12" t="s">
        <v>439</v>
      </c>
      <c r="J43" s="12" t="s">
        <v>439</v>
      </c>
      <c r="K43" s="10" t="s">
        <v>439</v>
      </c>
      <c r="L43" s="119" t="s">
        <v>439</v>
      </c>
      <c r="M43" s="10" t="s">
        <v>439</v>
      </c>
      <c r="N43" s="252" t="s">
        <v>439</v>
      </c>
    </row>
    <row r="44" spans="4:14" x14ac:dyDescent="0.2">
      <c r="D44" s="254" t="s">
        <v>439</v>
      </c>
      <c r="E44" s="23" t="s">
        <v>439</v>
      </c>
      <c r="F44" s="282" t="s">
        <v>439</v>
      </c>
      <c r="G44" s="23" t="s">
        <v>439</v>
      </c>
      <c r="H44" s="12" t="s">
        <v>439</v>
      </c>
      <c r="I44" s="12" t="s">
        <v>439</v>
      </c>
      <c r="J44" s="12" t="s">
        <v>439</v>
      </c>
      <c r="K44" s="10" t="s">
        <v>439</v>
      </c>
      <c r="L44" s="119" t="s">
        <v>439</v>
      </c>
      <c r="M44" s="10" t="s">
        <v>439</v>
      </c>
      <c r="N44" s="252" t="s">
        <v>439</v>
      </c>
    </row>
    <row r="45" spans="4:14" x14ac:dyDescent="0.2">
      <c r="D45" s="254" t="s">
        <v>439</v>
      </c>
      <c r="E45" s="23" t="s">
        <v>439</v>
      </c>
      <c r="F45" s="282" t="s">
        <v>439</v>
      </c>
      <c r="G45" s="23" t="s">
        <v>439</v>
      </c>
      <c r="H45" s="12" t="s">
        <v>439</v>
      </c>
      <c r="I45" s="12" t="s">
        <v>439</v>
      </c>
      <c r="J45" s="12" t="s">
        <v>439</v>
      </c>
      <c r="K45" s="10" t="s">
        <v>439</v>
      </c>
      <c r="L45" s="119" t="s">
        <v>439</v>
      </c>
      <c r="M45" s="10" t="s">
        <v>439</v>
      </c>
      <c r="N45" s="252" t="s">
        <v>439</v>
      </c>
    </row>
    <row r="46" spans="4:14" x14ac:dyDescent="0.2">
      <c r="D46" s="254" t="s">
        <v>439</v>
      </c>
      <c r="E46" s="23" t="s">
        <v>439</v>
      </c>
      <c r="F46" s="282" t="s">
        <v>439</v>
      </c>
      <c r="G46" s="23" t="s">
        <v>439</v>
      </c>
      <c r="H46" s="12" t="s">
        <v>439</v>
      </c>
      <c r="I46" s="12" t="s">
        <v>439</v>
      </c>
      <c r="J46" s="12" t="s">
        <v>439</v>
      </c>
      <c r="K46" s="10" t="s">
        <v>439</v>
      </c>
      <c r="L46" s="119" t="s">
        <v>439</v>
      </c>
      <c r="M46" s="10" t="s">
        <v>439</v>
      </c>
      <c r="N46" s="252" t="s">
        <v>439</v>
      </c>
    </row>
    <row r="47" spans="4:14" x14ac:dyDescent="0.2">
      <c r="D47" s="254" t="s">
        <v>439</v>
      </c>
      <c r="E47" s="23" t="s">
        <v>439</v>
      </c>
      <c r="F47" s="282" t="s">
        <v>439</v>
      </c>
      <c r="G47" s="23" t="s">
        <v>439</v>
      </c>
      <c r="H47" s="12" t="s">
        <v>439</v>
      </c>
      <c r="I47" s="12" t="s">
        <v>439</v>
      </c>
      <c r="J47" s="12" t="s">
        <v>439</v>
      </c>
      <c r="K47" s="10" t="s">
        <v>439</v>
      </c>
      <c r="L47" s="119" t="s">
        <v>439</v>
      </c>
      <c r="M47" s="10" t="s">
        <v>439</v>
      </c>
      <c r="N47" s="252" t="s">
        <v>439</v>
      </c>
    </row>
    <row r="48" spans="4:14" x14ac:dyDescent="0.2">
      <c r="D48" s="254" t="s">
        <v>439</v>
      </c>
      <c r="E48" s="23" t="s">
        <v>439</v>
      </c>
      <c r="F48" s="282" t="s">
        <v>439</v>
      </c>
      <c r="G48" s="23" t="s">
        <v>439</v>
      </c>
      <c r="H48" s="12" t="s">
        <v>439</v>
      </c>
      <c r="I48" s="12" t="s">
        <v>439</v>
      </c>
      <c r="J48" s="12" t="s">
        <v>439</v>
      </c>
      <c r="K48" s="10" t="s">
        <v>439</v>
      </c>
      <c r="L48" s="119" t="s">
        <v>439</v>
      </c>
      <c r="M48" s="10" t="s">
        <v>439</v>
      </c>
      <c r="N48" s="252" t="s">
        <v>439</v>
      </c>
    </row>
    <row r="49" spans="4:14" x14ac:dyDescent="0.2">
      <c r="D49" s="254" t="s">
        <v>439</v>
      </c>
      <c r="E49" s="23" t="s">
        <v>439</v>
      </c>
      <c r="F49" s="282" t="s">
        <v>439</v>
      </c>
      <c r="G49" s="23" t="s">
        <v>439</v>
      </c>
      <c r="H49" s="12" t="s">
        <v>439</v>
      </c>
      <c r="I49" s="12" t="s">
        <v>439</v>
      </c>
      <c r="J49" s="12" t="s">
        <v>439</v>
      </c>
      <c r="K49" s="10" t="s">
        <v>439</v>
      </c>
      <c r="L49" s="119" t="s">
        <v>439</v>
      </c>
      <c r="M49" s="10" t="s">
        <v>439</v>
      </c>
      <c r="N49" s="252" t="s">
        <v>439</v>
      </c>
    </row>
    <row r="50" spans="4:14" x14ac:dyDescent="0.2">
      <c r="D50" s="254" t="s">
        <v>439</v>
      </c>
      <c r="E50" s="23" t="s">
        <v>439</v>
      </c>
      <c r="F50" s="282" t="s">
        <v>439</v>
      </c>
      <c r="G50" s="23" t="s">
        <v>439</v>
      </c>
      <c r="H50" s="12" t="s">
        <v>439</v>
      </c>
      <c r="I50" s="12" t="s">
        <v>439</v>
      </c>
      <c r="J50" s="12" t="s">
        <v>439</v>
      </c>
      <c r="K50" s="10" t="s">
        <v>439</v>
      </c>
      <c r="L50" s="119" t="s">
        <v>439</v>
      </c>
      <c r="M50" s="10" t="s">
        <v>439</v>
      </c>
      <c r="N50" s="252" t="s">
        <v>439</v>
      </c>
    </row>
    <row r="51" spans="4:14" x14ac:dyDescent="0.2">
      <c r="D51" s="254" t="s">
        <v>439</v>
      </c>
      <c r="E51" s="23" t="s">
        <v>439</v>
      </c>
      <c r="F51" s="282" t="s">
        <v>439</v>
      </c>
      <c r="G51" s="23" t="s">
        <v>439</v>
      </c>
      <c r="H51" s="12" t="s">
        <v>439</v>
      </c>
      <c r="I51" s="12" t="s">
        <v>439</v>
      </c>
      <c r="J51" s="12" t="s">
        <v>439</v>
      </c>
      <c r="K51" s="10" t="s">
        <v>439</v>
      </c>
      <c r="L51" s="119" t="s">
        <v>439</v>
      </c>
      <c r="M51" s="10" t="s">
        <v>439</v>
      </c>
      <c r="N51" s="252" t="s">
        <v>439</v>
      </c>
    </row>
    <row r="52" spans="4:14" x14ac:dyDescent="0.2">
      <c r="D52" s="254" t="s">
        <v>439</v>
      </c>
      <c r="E52" s="23" t="s">
        <v>439</v>
      </c>
      <c r="F52" s="282" t="s">
        <v>439</v>
      </c>
      <c r="G52" s="23" t="s">
        <v>439</v>
      </c>
      <c r="H52" s="12" t="s">
        <v>439</v>
      </c>
      <c r="I52" s="12" t="s">
        <v>439</v>
      </c>
      <c r="J52" s="12" t="s">
        <v>439</v>
      </c>
      <c r="K52" s="10" t="s">
        <v>439</v>
      </c>
      <c r="L52" s="119" t="s">
        <v>439</v>
      </c>
      <c r="M52" s="10" t="s">
        <v>439</v>
      </c>
      <c r="N52" s="252" t="s">
        <v>439</v>
      </c>
    </row>
    <row r="53" spans="4:14" x14ac:dyDescent="0.2">
      <c r="D53" s="259" t="s">
        <v>439</v>
      </c>
      <c r="E53" s="9" t="s">
        <v>439</v>
      </c>
      <c r="F53" s="306" t="s">
        <v>439</v>
      </c>
      <c r="G53" s="9" t="s">
        <v>439</v>
      </c>
      <c r="H53" s="1" t="s">
        <v>439</v>
      </c>
      <c r="I53" s="1" t="s">
        <v>439</v>
      </c>
      <c r="J53" s="1" t="s">
        <v>439</v>
      </c>
      <c r="K53" s="10" t="s">
        <v>439</v>
      </c>
      <c r="L53" s="119" t="s">
        <v>439</v>
      </c>
      <c r="M53" s="10" t="s">
        <v>439</v>
      </c>
      <c r="N53" s="252" t="s">
        <v>439</v>
      </c>
    </row>
    <row r="54" spans="4:14" x14ac:dyDescent="0.2">
      <c r="D54" s="259" t="s">
        <v>439</v>
      </c>
      <c r="E54" s="9" t="s">
        <v>439</v>
      </c>
      <c r="F54" s="306" t="s">
        <v>439</v>
      </c>
      <c r="G54" s="9" t="s">
        <v>439</v>
      </c>
      <c r="H54" s="1" t="s">
        <v>439</v>
      </c>
      <c r="I54" s="1" t="s">
        <v>439</v>
      </c>
      <c r="J54" s="1" t="s">
        <v>439</v>
      </c>
      <c r="K54" s="10" t="s">
        <v>439</v>
      </c>
      <c r="L54" s="119" t="s">
        <v>439</v>
      </c>
      <c r="M54" s="10" t="s">
        <v>439</v>
      </c>
      <c r="N54" s="252" t="s">
        <v>439</v>
      </c>
    </row>
    <row r="55" spans="4:14" x14ac:dyDescent="0.2">
      <c r="D55" s="259" t="s">
        <v>439</v>
      </c>
      <c r="E55" s="9" t="s">
        <v>439</v>
      </c>
      <c r="F55" s="306" t="s">
        <v>439</v>
      </c>
      <c r="G55" s="9" t="s">
        <v>439</v>
      </c>
      <c r="H55" s="1" t="s">
        <v>439</v>
      </c>
      <c r="I55" s="1" t="s">
        <v>439</v>
      </c>
      <c r="J55" s="1" t="s">
        <v>439</v>
      </c>
      <c r="K55" s="10" t="s">
        <v>439</v>
      </c>
      <c r="L55" s="119" t="s">
        <v>439</v>
      </c>
      <c r="M55" s="10" t="s">
        <v>439</v>
      </c>
      <c r="N55" s="252" t="s">
        <v>439</v>
      </c>
    </row>
    <row r="56" spans="4:14" x14ac:dyDescent="0.2">
      <c r="D56" s="259" t="s">
        <v>439</v>
      </c>
      <c r="E56" s="9" t="s">
        <v>439</v>
      </c>
      <c r="F56" s="306" t="s">
        <v>439</v>
      </c>
      <c r="G56" s="9" t="s">
        <v>439</v>
      </c>
      <c r="H56" s="1" t="s">
        <v>439</v>
      </c>
      <c r="I56" s="1" t="s">
        <v>439</v>
      </c>
      <c r="J56" s="1" t="s">
        <v>439</v>
      </c>
      <c r="K56" s="1" t="s">
        <v>439</v>
      </c>
      <c r="L56" s="119" t="s">
        <v>439</v>
      </c>
      <c r="M56" s="10" t="s">
        <v>439</v>
      </c>
      <c r="N56" s="252" t="s">
        <v>439</v>
      </c>
    </row>
    <row r="57" spans="4:14" x14ac:dyDescent="0.2">
      <c r="D57" s="259" t="s">
        <v>439</v>
      </c>
      <c r="E57" s="9" t="s">
        <v>439</v>
      </c>
      <c r="F57" s="306" t="s">
        <v>439</v>
      </c>
      <c r="G57" s="9" t="s">
        <v>439</v>
      </c>
      <c r="H57" s="1" t="s">
        <v>439</v>
      </c>
      <c r="I57" s="1" t="s">
        <v>439</v>
      </c>
      <c r="J57" s="1" t="s">
        <v>439</v>
      </c>
      <c r="K57" s="1" t="s">
        <v>439</v>
      </c>
      <c r="L57" s="119" t="s">
        <v>439</v>
      </c>
      <c r="M57" s="10" t="s">
        <v>439</v>
      </c>
      <c r="N57" s="252" t="s">
        <v>439</v>
      </c>
    </row>
    <row r="58" spans="4:14" x14ac:dyDescent="0.2">
      <c r="D58" s="259" t="s">
        <v>439</v>
      </c>
      <c r="E58" s="9" t="s">
        <v>439</v>
      </c>
      <c r="F58" s="306" t="s">
        <v>439</v>
      </c>
      <c r="G58" s="9" t="s">
        <v>439</v>
      </c>
      <c r="H58" s="1" t="s">
        <v>439</v>
      </c>
      <c r="I58" s="1" t="s">
        <v>439</v>
      </c>
      <c r="J58" s="1" t="s">
        <v>439</v>
      </c>
      <c r="K58" s="1" t="s">
        <v>439</v>
      </c>
      <c r="L58" s="119" t="s">
        <v>439</v>
      </c>
      <c r="M58" s="10" t="s">
        <v>439</v>
      </c>
      <c r="N58" s="252" t="s">
        <v>439</v>
      </c>
    </row>
    <row r="59" spans="4:14" x14ac:dyDescent="0.2">
      <c r="D59" s="259" t="s">
        <v>439</v>
      </c>
      <c r="E59" s="9" t="s">
        <v>439</v>
      </c>
      <c r="F59" s="306" t="s">
        <v>439</v>
      </c>
      <c r="G59" s="9" t="s">
        <v>439</v>
      </c>
      <c r="H59" s="1" t="s">
        <v>439</v>
      </c>
      <c r="I59" s="1" t="s">
        <v>439</v>
      </c>
      <c r="J59" s="1" t="s">
        <v>439</v>
      </c>
      <c r="K59" s="1" t="s">
        <v>439</v>
      </c>
      <c r="L59" s="119" t="s">
        <v>439</v>
      </c>
      <c r="M59" s="10" t="s">
        <v>439</v>
      </c>
      <c r="N59" s="252" t="s">
        <v>439</v>
      </c>
    </row>
    <row r="60" spans="4:14" x14ac:dyDescent="0.2">
      <c r="D60" s="259" t="s">
        <v>439</v>
      </c>
      <c r="E60" s="9" t="s">
        <v>439</v>
      </c>
      <c r="F60" s="306" t="s">
        <v>439</v>
      </c>
      <c r="G60" s="9" t="s">
        <v>439</v>
      </c>
      <c r="H60" s="1" t="s">
        <v>439</v>
      </c>
      <c r="I60" s="1" t="s">
        <v>439</v>
      </c>
      <c r="J60" s="1" t="s">
        <v>439</v>
      </c>
      <c r="K60" s="1" t="s">
        <v>439</v>
      </c>
      <c r="L60" s="119" t="s">
        <v>439</v>
      </c>
      <c r="M60" s="10" t="s">
        <v>439</v>
      </c>
      <c r="N60" s="252" t="s">
        <v>439</v>
      </c>
    </row>
    <row r="61" spans="4:14" x14ac:dyDescent="0.2">
      <c r="D61" s="259" t="s">
        <v>439</v>
      </c>
      <c r="E61" s="9" t="s">
        <v>439</v>
      </c>
      <c r="F61" s="306" t="s">
        <v>439</v>
      </c>
      <c r="G61" s="9" t="s">
        <v>439</v>
      </c>
      <c r="H61" s="1" t="s">
        <v>439</v>
      </c>
      <c r="I61" s="1" t="s">
        <v>439</v>
      </c>
      <c r="J61" s="1" t="s">
        <v>439</v>
      </c>
      <c r="K61" s="1" t="s">
        <v>439</v>
      </c>
      <c r="L61" s="119" t="s">
        <v>439</v>
      </c>
      <c r="M61" s="10" t="s">
        <v>439</v>
      </c>
      <c r="N61" s="252" t="s">
        <v>439</v>
      </c>
    </row>
    <row r="62" spans="4:14" x14ac:dyDescent="0.2">
      <c r="D62" s="259" t="s">
        <v>439</v>
      </c>
      <c r="E62" s="9" t="s">
        <v>439</v>
      </c>
      <c r="F62" s="306" t="s">
        <v>439</v>
      </c>
      <c r="G62" s="9" t="s">
        <v>439</v>
      </c>
      <c r="H62" s="1" t="s">
        <v>439</v>
      </c>
      <c r="I62" s="1" t="s">
        <v>439</v>
      </c>
      <c r="J62" s="1" t="s">
        <v>439</v>
      </c>
      <c r="K62" s="1" t="s">
        <v>439</v>
      </c>
      <c r="L62" s="119" t="s">
        <v>439</v>
      </c>
      <c r="M62" s="10" t="s">
        <v>439</v>
      </c>
      <c r="N62" s="252" t="s">
        <v>439</v>
      </c>
    </row>
    <row r="63" spans="4:14" x14ac:dyDescent="0.2">
      <c r="D63" s="259" t="s">
        <v>439</v>
      </c>
      <c r="E63" s="9" t="s">
        <v>439</v>
      </c>
      <c r="F63" s="306" t="s">
        <v>439</v>
      </c>
      <c r="G63" s="9" t="s">
        <v>439</v>
      </c>
      <c r="H63" s="1" t="s">
        <v>439</v>
      </c>
      <c r="I63" s="1" t="s">
        <v>439</v>
      </c>
      <c r="J63" s="1" t="s">
        <v>439</v>
      </c>
      <c r="K63" s="1" t="s">
        <v>439</v>
      </c>
      <c r="L63" s="119" t="s">
        <v>439</v>
      </c>
      <c r="M63" s="10" t="s">
        <v>439</v>
      </c>
      <c r="N63" s="252" t="s">
        <v>439</v>
      </c>
    </row>
    <row r="64" spans="4:14" x14ac:dyDescent="0.2">
      <c r="D64" s="259" t="s">
        <v>439</v>
      </c>
      <c r="E64" s="9" t="s">
        <v>439</v>
      </c>
      <c r="F64" s="306" t="s">
        <v>439</v>
      </c>
      <c r="G64" s="9" t="s">
        <v>439</v>
      </c>
      <c r="H64" s="1" t="s">
        <v>439</v>
      </c>
      <c r="I64" s="1" t="s">
        <v>439</v>
      </c>
      <c r="J64" s="1" t="s">
        <v>439</v>
      </c>
      <c r="K64" s="1" t="s">
        <v>439</v>
      </c>
      <c r="L64" s="119" t="s">
        <v>439</v>
      </c>
      <c r="M64" s="10" t="s">
        <v>439</v>
      </c>
      <c r="N64" s="252" t="s">
        <v>439</v>
      </c>
    </row>
    <row r="65" spans="4:14" x14ac:dyDescent="0.2">
      <c r="D65" s="259" t="s">
        <v>439</v>
      </c>
      <c r="E65" s="9" t="s">
        <v>439</v>
      </c>
      <c r="F65" s="306" t="s">
        <v>439</v>
      </c>
      <c r="G65" s="9" t="s">
        <v>439</v>
      </c>
      <c r="H65" s="1" t="s">
        <v>439</v>
      </c>
      <c r="I65" s="1" t="s">
        <v>439</v>
      </c>
      <c r="J65" s="1" t="s">
        <v>439</v>
      </c>
      <c r="K65" s="1" t="s">
        <v>439</v>
      </c>
      <c r="L65" s="119" t="s">
        <v>439</v>
      </c>
      <c r="M65" s="10" t="s">
        <v>439</v>
      </c>
      <c r="N65" s="252" t="s">
        <v>439</v>
      </c>
    </row>
    <row r="66" spans="4:14" x14ac:dyDescent="0.2">
      <c r="D66" s="259" t="s">
        <v>439</v>
      </c>
      <c r="E66" s="9" t="s">
        <v>439</v>
      </c>
      <c r="F66" s="306" t="s">
        <v>439</v>
      </c>
      <c r="G66" s="9" t="s">
        <v>439</v>
      </c>
      <c r="H66" s="1" t="s">
        <v>439</v>
      </c>
      <c r="I66" s="1" t="s">
        <v>439</v>
      </c>
      <c r="J66" s="1" t="s">
        <v>439</v>
      </c>
      <c r="K66" s="1" t="s">
        <v>439</v>
      </c>
      <c r="L66" s="119" t="s">
        <v>439</v>
      </c>
      <c r="M66" s="10" t="s">
        <v>439</v>
      </c>
      <c r="N66" s="252" t="s">
        <v>439</v>
      </c>
    </row>
    <row r="67" spans="4:14" x14ac:dyDescent="0.2">
      <c r="D67" s="259" t="s">
        <v>439</v>
      </c>
      <c r="E67" s="9" t="s">
        <v>439</v>
      </c>
      <c r="F67" s="306" t="s">
        <v>439</v>
      </c>
      <c r="G67" s="9" t="s">
        <v>439</v>
      </c>
      <c r="H67" s="1" t="s">
        <v>439</v>
      </c>
      <c r="I67" s="1" t="s">
        <v>439</v>
      </c>
      <c r="J67" s="1" t="s">
        <v>439</v>
      </c>
      <c r="K67" s="1" t="s">
        <v>439</v>
      </c>
      <c r="L67" s="119" t="s">
        <v>439</v>
      </c>
      <c r="M67" s="10" t="s">
        <v>439</v>
      </c>
      <c r="N67" s="252" t="s">
        <v>439</v>
      </c>
    </row>
    <row r="68" spans="4:14" x14ac:dyDescent="0.2">
      <c r="D68" s="259" t="s">
        <v>439</v>
      </c>
      <c r="E68" s="9" t="s">
        <v>439</v>
      </c>
      <c r="F68" s="306" t="s">
        <v>439</v>
      </c>
      <c r="G68" s="9" t="s">
        <v>439</v>
      </c>
      <c r="H68" s="1" t="s">
        <v>439</v>
      </c>
      <c r="I68" s="1" t="s">
        <v>439</v>
      </c>
      <c r="J68" s="1" t="s">
        <v>439</v>
      </c>
      <c r="K68" s="1" t="s">
        <v>439</v>
      </c>
      <c r="L68" s="119" t="s">
        <v>439</v>
      </c>
      <c r="M68" s="10" t="s">
        <v>439</v>
      </c>
      <c r="N68" s="252" t="s">
        <v>439</v>
      </c>
    </row>
    <row r="69" spans="4:14" x14ac:dyDescent="0.2">
      <c r="D69" s="259" t="s">
        <v>439</v>
      </c>
      <c r="E69" s="9" t="s">
        <v>439</v>
      </c>
      <c r="F69" s="306" t="s">
        <v>439</v>
      </c>
      <c r="G69" s="9" t="s">
        <v>439</v>
      </c>
      <c r="H69" s="1" t="s">
        <v>439</v>
      </c>
      <c r="I69" s="1" t="s">
        <v>439</v>
      </c>
      <c r="J69" s="1" t="s">
        <v>439</v>
      </c>
      <c r="K69" s="1" t="s">
        <v>439</v>
      </c>
      <c r="L69" s="119" t="s">
        <v>439</v>
      </c>
      <c r="M69" s="10" t="s">
        <v>439</v>
      </c>
      <c r="N69" s="252" t="s">
        <v>439</v>
      </c>
    </row>
    <row r="70" spans="4:14" x14ac:dyDescent="0.2">
      <c r="D70" s="259" t="s">
        <v>439</v>
      </c>
      <c r="E70" s="9" t="s">
        <v>439</v>
      </c>
      <c r="F70" s="306" t="s">
        <v>439</v>
      </c>
      <c r="G70" s="9" t="s">
        <v>439</v>
      </c>
      <c r="H70" s="1" t="s">
        <v>439</v>
      </c>
      <c r="I70" s="1" t="s">
        <v>439</v>
      </c>
      <c r="J70" s="1" t="s">
        <v>439</v>
      </c>
      <c r="K70" s="1" t="s">
        <v>439</v>
      </c>
      <c r="L70" s="119" t="s">
        <v>439</v>
      </c>
      <c r="M70" s="10" t="s">
        <v>439</v>
      </c>
      <c r="N70" s="252" t="s">
        <v>439</v>
      </c>
    </row>
    <row r="71" spans="4:14" x14ac:dyDescent="0.2">
      <c r="D71" s="259" t="s">
        <v>439</v>
      </c>
      <c r="E71" s="9" t="s">
        <v>439</v>
      </c>
      <c r="F71" s="306" t="s">
        <v>439</v>
      </c>
      <c r="G71" s="9" t="s">
        <v>439</v>
      </c>
      <c r="H71" s="1" t="s">
        <v>439</v>
      </c>
      <c r="I71" s="1" t="s">
        <v>439</v>
      </c>
      <c r="J71" s="1" t="s">
        <v>439</v>
      </c>
      <c r="K71" s="1" t="s">
        <v>439</v>
      </c>
      <c r="L71" s="119" t="s">
        <v>439</v>
      </c>
      <c r="M71" s="10" t="s">
        <v>439</v>
      </c>
      <c r="N71" s="252" t="s">
        <v>439</v>
      </c>
    </row>
    <row r="72" spans="4:14" x14ac:dyDescent="0.2">
      <c r="D72" s="259" t="s">
        <v>439</v>
      </c>
      <c r="E72" s="9" t="s">
        <v>439</v>
      </c>
      <c r="F72" s="306" t="s">
        <v>439</v>
      </c>
      <c r="G72" s="9" t="s">
        <v>439</v>
      </c>
      <c r="H72" s="1" t="s">
        <v>439</v>
      </c>
      <c r="I72" s="1" t="s">
        <v>439</v>
      </c>
      <c r="J72" s="1" t="s">
        <v>439</v>
      </c>
      <c r="K72" s="1" t="s">
        <v>439</v>
      </c>
      <c r="L72" s="119" t="s">
        <v>439</v>
      </c>
      <c r="M72" s="10" t="s">
        <v>439</v>
      </c>
      <c r="N72" s="252" t="s">
        <v>439</v>
      </c>
    </row>
    <row r="73" spans="4:14" x14ac:dyDescent="0.2">
      <c r="D73" s="259" t="s">
        <v>439</v>
      </c>
      <c r="E73" s="9" t="s">
        <v>439</v>
      </c>
      <c r="F73" s="306" t="s">
        <v>439</v>
      </c>
      <c r="G73" s="9" t="s">
        <v>439</v>
      </c>
      <c r="H73" s="1" t="s">
        <v>439</v>
      </c>
      <c r="I73" s="1" t="s">
        <v>439</v>
      </c>
      <c r="J73" s="1" t="s">
        <v>439</v>
      </c>
      <c r="K73" s="1" t="s">
        <v>439</v>
      </c>
      <c r="L73" s="119" t="s">
        <v>439</v>
      </c>
      <c r="M73" s="10" t="s">
        <v>439</v>
      </c>
      <c r="N73" s="252" t="s">
        <v>439</v>
      </c>
    </row>
    <row r="74" spans="4:14" x14ac:dyDescent="0.2">
      <c r="D74" s="259" t="s">
        <v>439</v>
      </c>
      <c r="E74" s="9" t="s">
        <v>439</v>
      </c>
      <c r="F74" s="306" t="s">
        <v>439</v>
      </c>
      <c r="G74" s="9" t="s">
        <v>439</v>
      </c>
      <c r="H74" s="1" t="s">
        <v>439</v>
      </c>
      <c r="I74" s="1" t="s">
        <v>439</v>
      </c>
      <c r="J74" s="1" t="s">
        <v>439</v>
      </c>
      <c r="K74" s="1" t="s">
        <v>439</v>
      </c>
      <c r="L74" s="119" t="s">
        <v>439</v>
      </c>
      <c r="M74" s="10" t="s">
        <v>439</v>
      </c>
      <c r="N74" s="252" t="s">
        <v>439</v>
      </c>
    </row>
    <row r="75" spans="4:14" x14ac:dyDescent="0.2">
      <c r="D75" s="259" t="s">
        <v>439</v>
      </c>
      <c r="E75" s="9" t="s">
        <v>439</v>
      </c>
      <c r="F75" s="306" t="s">
        <v>439</v>
      </c>
      <c r="G75" s="9" t="s">
        <v>439</v>
      </c>
      <c r="H75" s="1" t="s">
        <v>439</v>
      </c>
      <c r="I75" s="1" t="s">
        <v>439</v>
      </c>
      <c r="J75" s="1" t="s">
        <v>439</v>
      </c>
      <c r="K75" s="1" t="s">
        <v>439</v>
      </c>
      <c r="L75" s="119" t="s">
        <v>439</v>
      </c>
      <c r="M75" s="10" t="s">
        <v>439</v>
      </c>
      <c r="N75" s="252" t="s">
        <v>439</v>
      </c>
    </row>
    <row r="76" spans="4:14" x14ac:dyDescent="0.2">
      <c r="D76" s="259" t="s">
        <v>439</v>
      </c>
      <c r="E76" s="1" t="s">
        <v>439</v>
      </c>
      <c r="F76" s="306" t="s">
        <v>439</v>
      </c>
      <c r="G76" s="9" t="s">
        <v>439</v>
      </c>
      <c r="H76" s="1" t="s">
        <v>439</v>
      </c>
      <c r="I76" s="1" t="s">
        <v>439</v>
      </c>
      <c r="J76" s="1" t="s">
        <v>439</v>
      </c>
      <c r="K76" s="1" t="s">
        <v>439</v>
      </c>
      <c r="L76" s="119" t="s">
        <v>439</v>
      </c>
      <c r="M76" s="10" t="s">
        <v>439</v>
      </c>
      <c r="N76" s="252" t="s">
        <v>439</v>
      </c>
    </row>
    <row r="77" spans="4:14" x14ac:dyDescent="0.2">
      <c r="D77" s="259" t="s">
        <v>439</v>
      </c>
      <c r="E77" s="1" t="s">
        <v>439</v>
      </c>
      <c r="F77" s="1" t="s">
        <v>439</v>
      </c>
      <c r="G77" s="9" t="s">
        <v>439</v>
      </c>
      <c r="H77" s="1" t="s">
        <v>439</v>
      </c>
      <c r="I77" s="1" t="s">
        <v>439</v>
      </c>
      <c r="J77" s="1" t="s">
        <v>439</v>
      </c>
      <c r="K77" s="1" t="s">
        <v>439</v>
      </c>
      <c r="L77" s="119" t="s">
        <v>439</v>
      </c>
      <c r="M77" s="10" t="s">
        <v>439</v>
      </c>
      <c r="N77" s="252" t="s">
        <v>439</v>
      </c>
    </row>
    <row r="78" spans="4:14" x14ac:dyDescent="0.2">
      <c r="D78" s="259" t="s">
        <v>439</v>
      </c>
      <c r="E78" s="1" t="s">
        <v>439</v>
      </c>
      <c r="F78" s="1" t="s">
        <v>439</v>
      </c>
      <c r="G78" s="9" t="s">
        <v>439</v>
      </c>
      <c r="H78" s="1" t="s">
        <v>439</v>
      </c>
      <c r="I78" s="1" t="s">
        <v>439</v>
      </c>
      <c r="J78" s="1" t="s">
        <v>439</v>
      </c>
      <c r="K78" s="1" t="s">
        <v>439</v>
      </c>
      <c r="L78" s="119" t="s">
        <v>439</v>
      </c>
      <c r="M78" s="10" t="s">
        <v>439</v>
      </c>
      <c r="N78" s="252" t="s">
        <v>439</v>
      </c>
    </row>
    <row r="79" spans="4:14" x14ac:dyDescent="0.2">
      <c r="D79" s="259" t="s">
        <v>439</v>
      </c>
      <c r="E79" s="1" t="s">
        <v>439</v>
      </c>
      <c r="F79" s="1" t="s">
        <v>439</v>
      </c>
      <c r="G79" s="9" t="s">
        <v>439</v>
      </c>
      <c r="H79" s="1" t="s">
        <v>439</v>
      </c>
      <c r="I79" s="1" t="s">
        <v>439</v>
      </c>
      <c r="J79" s="1" t="s">
        <v>439</v>
      </c>
      <c r="K79" s="1" t="s">
        <v>439</v>
      </c>
      <c r="L79" s="119" t="s">
        <v>439</v>
      </c>
      <c r="M79" s="10" t="s">
        <v>439</v>
      </c>
      <c r="N79" s="252" t="s">
        <v>439</v>
      </c>
    </row>
    <row r="80" spans="4:14" x14ac:dyDescent="0.2">
      <c r="D80" s="259" t="s">
        <v>439</v>
      </c>
      <c r="E80" s="1" t="s">
        <v>439</v>
      </c>
      <c r="F80" s="1" t="s">
        <v>439</v>
      </c>
      <c r="G80" s="9" t="s">
        <v>439</v>
      </c>
      <c r="H80" s="1" t="s">
        <v>439</v>
      </c>
      <c r="I80" s="1" t="s">
        <v>439</v>
      </c>
      <c r="J80" s="1" t="s">
        <v>439</v>
      </c>
      <c r="K80" s="1" t="s">
        <v>439</v>
      </c>
      <c r="L80" s="119" t="s">
        <v>439</v>
      </c>
      <c r="M80" s="10" t="s">
        <v>439</v>
      </c>
      <c r="N80" s="252" t="s">
        <v>439</v>
      </c>
    </row>
    <row r="81" spans="4:14" x14ac:dyDescent="0.2">
      <c r="D81" s="259" t="s">
        <v>439</v>
      </c>
      <c r="E81" s="1" t="s">
        <v>439</v>
      </c>
      <c r="F81" s="1" t="s">
        <v>439</v>
      </c>
      <c r="G81" s="9" t="s">
        <v>439</v>
      </c>
      <c r="H81" s="1" t="s">
        <v>439</v>
      </c>
      <c r="I81" s="1" t="s">
        <v>439</v>
      </c>
      <c r="J81" s="1" t="s">
        <v>439</v>
      </c>
      <c r="K81" s="1" t="s">
        <v>439</v>
      </c>
      <c r="L81" s="119" t="s">
        <v>439</v>
      </c>
      <c r="M81" s="10" t="s">
        <v>439</v>
      </c>
      <c r="N81" s="252" t="s">
        <v>439</v>
      </c>
    </row>
    <row r="82" spans="4:14" x14ac:dyDescent="0.2">
      <c r="D82" s="259" t="s">
        <v>439</v>
      </c>
      <c r="E82" s="1" t="s">
        <v>439</v>
      </c>
      <c r="F82" s="1" t="s">
        <v>439</v>
      </c>
      <c r="G82" s="9" t="s">
        <v>439</v>
      </c>
      <c r="H82" s="1" t="s">
        <v>439</v>
      </c>
      <c r="I82" s="1" t="s">
        <v>439</v>
      </c>
      <c r="J82" s="1" t="s">
        <v>439</v>
      </c>
      <c r="K82" s="1" t="s">
        <v>439</v>
      </c>
      <c r="L82" s="119" t="s">
        <v>439</v>
      </c>
      <c r="M82" s="10" t="s">
        <v>439</v>
      </c>
      <c r="N82" s="252" t="s">
        <v>439</v>
      </c>
    </row>
    <row r="83" spans="4:14" x14ac:dyDescent="0.2">
      <c r="D83" s="259" t="s">
        <v>439</v>
      </c>
      <c r="E83" s="1" t="s">
        <v>439</v>
      </c>
      <c r="F83" s="1" t="s">
        <v>439</v>
      </c>
      <c r="G83" s="9" t="s">
        <v>439</v>
      </c>
      <c r="H83" s="1" t="s">
        <v>439</v>
      </c>
      <c r="I83" s="1" t="s">
        <v>439</v>
      </c>
      <c r="J83" s="1" t="s">
        <v>439</v>
      </c>
      <c r="K83" s="1" t="s">
        <v>439</v>
      </c>
      <c r="L83" s="119" t="s">
        <v>439</v>
      </c>
      <c r="M83" s="10" t="s">
        <v>439</v>
      </c>
      <c r="N83" s="252" t="s">
        <v>439</v>
      </c>
    </row>
    <row r="84" spans="4:14" x14ac:dyDescent="0.2">
      <c r="D84" s="259" t="s">
        <v>439</v>
      </c>
      <c r="E84" s="1" t="s">
        <v>439</v>
      </c>
      <c r="F84" s="1" t="s">
        <v>439</v>
      </c>
      <c r="G84" s="9" t="s">
        <v>439</v>
      </c>
      <c r="H84" s="1" t="s">
        <v>439</v>
      </c>
      <c r="I84" s="1" t="s">
        <v>439</v>
      </c>
      <c r="J84" s="1" t="s">
        <v>439</v>
      </c>
      <c r="K84" s="1" t="s">
        <v>439</v>
      </c>
      <c r="L84" s="119" t="s">
        <v>439</v>
      </c>
      <c r="M84" s="10" t="s">
        <v>439</v>
      </c>
      <c r="N84" s="252" t="s">
        <v>439</v>
      </c>
    </row>
    <row r="85" spans="4:14" x14ac:dyDescent="0.2">
      <c r="D85" s="259" t="s">
        <v>439</v>
      </c>
      <c r="E85" s="1" t="s">
        <v>439</v>
      </c>
      <c r="F85" s="1" t="s">
        <v>439</v>
      </c>
      <c r="G85" s="9" t="s">
        <v>439</v>
      </c>
      <c r="H85" s="1" t="s">
        <v>439</v>
      </c>
      <c r="I85" s="1" t="s">
        <v>439</v>
      </c>
      <c r="J85" s="1" t="s">
        <v>439</v>
      </c>
      <c r="K85" s="1" t="s">
        <v>439</v>
      </c>
      <c r="L85" s="119" t="s">
        <v>439</v>
      </c>
      <c r="M85" s="10" t="s">
        <v>439</v>
      </c>
      <c r="N85" s="252" t="s">
        <v>439</v>
      </c>
    </row>
    <row r="86" spans="4:14" x14ac:dyDescent="0.2">
      <c r="D86" s="259" t="s">
        <v>439</v>
      </c>
      <c r="E86" s="1" t="s">
        <v>439</v>
      </c>
      <c r="F86" s="1" t="s">
        <v>439</v>
      </c>
      <c r="G86" s="9" t="s">
        <v>439</v>
      </c>
      <c r="H86" s="1" t="s">
        <v>439</v>
      </c>
      <c r="I86" s="1" t="s">
        <v>439</v>
      </c>
      <c r="J86" s="1" t="s">
        <v>439</v>
      </c>
      <c r="K86" s="1" t="s">
        <v>439</v>
      </c>
      <c r="L86" s="119" t="s">
        <v>439</v>
      </c>
      <c r="M86" s="10" t="s">
        <v>439</v>
      </c>
      <c r="N86" s="252" t="s">
        <v>439</v>
      </c>
    </row>
    <row r="87" spans="4:14" x14ac:dyDescent="0.2">
      <c r="D87" s="259" t="s">
        <v>439</v>
      </c>
      <c r="E87" s="1" t="s">
        <v>439</v>
      </c>
      <c r="F87" s="1" t="s">
        <v>439</v>
      </c>
      <c r="G87" s="9" t="s">
        <v>439</v>
      </c>
      <c r="H87" s="1" t="s">
        <v>439</v>
      </c>
      <c r="I87" s="1" t="s">
        <v>439</v>
      </c>
      <c r="J87" s="1" t="s">
        <v>439</v>
      </c>
      <c r="K87" s="1" t="s">
        <v>439</v>
      </c>
      <c r="L87" s="119" t="s">
        <v>439</v>
      </c>
      <c r="M87" s="10" t="s">
        <v>439</v>
      </c>
      <c r="N87" s="252" t="s">
        <v>439</v>
      </c>
    </row>
    <row r="88" spans="4:14" x14ac:dyDescent="0.2">
      <c r="D88" s="259" t="s">
        <v>439</v>
      </c>
      <c r="E88" s="1" t="s">
        <v>439</v>
      </c>
      <c r="F88" s="1" t="s">
        <v>439</v>
      </c>
      <c r="G88" s="9" t="s">
        <v>439</v>
      </c>
      <c r="H88" s="1" t="s">
        <v>439</v>
      </c>
      <c r="I88" s="1" t="s">
        <v>439</v>
      </c>
      <c r="J88" s="1" t="s">
        <v>439</v>
      </c>
      <c r="K88" s="1" t="s">
        <v>439</v>
      </c>
      <c r="L88" s="119" t="s">
        <v>439</v>
      </c>
      <c r="M88" s="10" t="s">
        <v>439</v>
      </c>
      <c r="N88" s="252" t="s">
        <v>439</v>
      </c>
    </row>
    <row r="89" spans="4:14" x14ac:dyDescent="0.2">
      <c r="D89" s="259" t="s">
        <v>439</v>
      </c>
      <c r="E89" s="1" t="s">
        <v>439</v>
      </c>
      <c r="F89" s="1" t="s">
        <v>439</v>
      </c>
      <c r="G89" s="9" t="s">
        <v>439</v>
      </c>
      <c r="H89" s="1" t="s">
        <v>439</v>
      </c>
      <c r="I89" s="1" t="s">
        <v>439</v>
      </c>
      <c r="J89" s="1" t="s">
        <v>439</v>
      </c>
      <c r="K89" s="1" t="s">
        <v>439</v>
      </c>
      <c r="L89" s="119" t="s">
        <v>439</v>
      </c>
      <c r="M89" s="10" t="s">
        <v>439</v>
      </c>
      <c r="N89" s="252" t="s">
        <v>439</v>
      </c>
    </row>
    <row r="90" spans="4:14" x14ac:dyDescent="0.2">
      <c r="D90" s="259" t="s">
        <v>439</v>
      </c>
      <c r="E90" s="1" t="s">
        <v>439</v>
      </c>
      <c r="F90" s="1" t="s">
        <v>439</v>
      </c>
      <c r="G90" s="9" t="s">
        <v>439</v>
      </c>
      <c r="H90" s="1" t="s">
        <v>439</v>
      </c>
      <c r="I90" s="1" t="s">
        <v>439</v>
      </c>
      <c r="J90" s="1" t="s">
        <v>439</v>
      </c>
      <c r="K90" s="1" t="s">
        <v>439</v>
      </c>
      <c r="L90" s="119" t="s">
        <v>439</v>
      </c>
      <c r="M90" s="10" t="s">
        <v>439</v>
      </c>
      <c r="N90" s="252" t="s">
        <v>439</v>
      </c>
    </row>
    <row r="91" spans="4:14" x14ac:dyDescent="0.2">
      <c r="D91" s="259" t="s">
        <v>439</v>
      </c>
      <c r="E91" s="1" t="s">
        <v>439</v>
      </c>
      <c r="F91" s="1" t="s">
        <v>439</v>
      </c>
      <c r="G91" s="9" t="s">
        <v>439</v>
      </c>
      <c r="H91" s="1" t="s">
        <v>439</v>
      </c>
      <c r="I91" s="1" t="s">
        <v>439</v>
      </c>
      <c r="J91" s="1" t="s">
        <v>439</v>
      </c>
      <c r="K91" s="1" t="s">
        <v>439</v>
      </c>
      <c r="L91" s="119" t="s">
        <v>439</v>
      </c>
      <c r="M91" s="10" t="s">
        <v>439</v>
      </c>
      <c r="N91" s="252" t="s">
        <v>439</v>
      </c>
    </row>
    <row r="92" spans="4:14" x14ac:dyDescent="0.2">
      <c r="D92" s="259" t="s">
        <v>439</v>
      </c>
      <c r="E92" s="1" t="s">
        <v>439</v>
      </c>
      <c r="F92" s="1" t="s">
        <v>439</v>
      </c>
      <c r="G92" s="9" t="s">
        <v>439</v>
      </c>
      <c r="H92" s="1" t="s">
        <v>439</v>
      </c>
      <c r="I92" s="1" t="s">
        <v>439</v>
      </c>
      <c r="J92" s="1" t="s">
        <v>439</v>
      </c>
      <c r="K92" s="1" t="s">
        <v>439</v>
      </c>
      <c r="L92" s="119" t="s">
        <v>439</v>
      </c>
      <c r="M92" s="10" t="s">
        <v>439</v>
      </c>
      <c r="N92" s="252" t="s">
        <v>439</v>
      </c>
    </row>
    <row r="93" spans="4:14" x14ac:dyDescent="0.2">
      <c r="D93" s="259" t="s">
        <v>439</v>
      </c>
      <c r="E93" s="1" t="s">
        <v>439</v>
      </c>
      <c r="F93" s="1" t="s">
        <v>439</v>
      </c>
      <c r="G93" s="9" t="s">
        <v>439</v>
      </c>
      <c r="H93" s="1" t="s">
        <v>439</v>
      </c>
      <c r="I93" s="1" t="s">
        <v>439</v>
      </c>
      <c r="J93" s="1" t="s">
        <v>439</v>
      </c>
      <c r="K93" s="1" t="s">
        <v>439</v>
      </c>
      <c r="L93" s="119" t="s">
        <v>439</v>
      </c>
      <c r="M93" s="10" t="s">
        <v>439</v>
      </c>
      <c r="N93" s="252" t="s">
        <v>439</v>
      </c>
    </row>
    <row r="94" spans="4:14" x14ac:dyDescent="0.2">
      <c r="D94" s="259" t="s">
        <v>439</v>
      </c>
      <c r="E94" s="1" t="s">
        <v>439</v>
      </c>
      <c r="F94" s="1" t="s">
        <v>439</v>
      </c>
      <c r="G94" s="9" t="s">
        <v>439</v>
      </c>
      <c r="H94" s="1" t="s">
        <v>439</v>
      </c>
      <c r="I94" s="1" t="s">
        <v>439</v>
      </c>
      <c r="J94" s="1" t="s">
        <v>439</v>
      </c>
      <c r="K94" s="1" t="s">
        <v>439</v>
      </c>
      <c r="L94" s="119" t="s">
        <v>439</v>
      </c>
      <c r="M94" s="10" t="s">
        <v>439</v>
      </c>
      <c r="N94" s="252" t="s">
        <v>439</v>
      </c>
    </row>
    <row r="95" spans="4:14" x14ac:dyDescent="0.2">
      <c r="D95" s="259" t="s">
        <v>439</v>
      </c>
      <c r="E95" s="1" t="s">
        <v>439</v>
      </c>
      <c r="F95" s="1" t="s">
        <v>439</v>
      </c>
      <c r="G95" s="9" t="s">
        <v>439</v>
      </c>
      <c r="H95" s="1" t="s">
        <v>439</v>
      </c>
      <c r="I95" s="1" t="s">
        <v>439</v>
      </c>
      <c r="J95" s="1" t="s">
        <v>439</v>
      </c>
      <c r="K95" s="1" t="s">
        <v>439</v>
      </c>
      <c r="L95" s="119" t="s">
        <v>439</v>
      </c>
      <c r="M95" s="10" t="s">
        <v>439</v>
      </c>
      <c r="N95" s="252" t="s">
        <v>439</v>
      </c>
    </row>
    <row r="96" spans="4:14" x14ac:dyDescent="0.2">
      <c r="D96" s="259" t="s">
        <v>439</v>
      </c>
      <c r="E96" s="1" t="s">
        <v>439</v>
      </c>
      <c r="F96" s="1" t="s">
        <v>439</v>
      </c>
      <c r="G96" s="9" t="s">
        <v>439</v>
      </c>
      <c r="H96" s="1" t="s">
        <v>439</v>
      </c>
      <c r="I96" s="1" t="s">
        <v>439</v>
      </c>
      <c r="J96" s="1" t="s">
        <v>439</v>
      </c>
      <c r="K96" s="1" t="s">
        <v>439</v>
      </c>
      <c r="L96" s="119" t="s">
        <v>439</v>
      </c>
      <c r="M96" s="10" t="s">
        <v>439</v>
      </c>
      <c r="N96" s="252" t="s">
        <v>439</v>
      </c>
    </row>
    <row r="97" spans="4:14" x14ac:dyDescent="0.2">
      <c r="D97" s="259" t="s">
        <v>439</v>
      </c>
      <c r="E97" s="1" t="s">
        <v>439</v>
      </c>
      <c r="F97" s="1" t="s">
        <v>439</v>
      </c>
      <c r="G97" s="9" t="s">
        <v>439</v>
      </c>
      <c r="H97" s="1" t="s">
        <v>439</v>
      </c>
      <c r="I97" s="1" t="s">
        <v>439</v>
      </c>
      <c r="J97" s="1" t="s">
        <v>439</v>
      </c>
      <c r="K97" s="1" t="s">
        <v>439</v>
      </c>
      <c r="L97" s="119" t="s">
        <v>439</v>
      </c>
      <c r="M97" s="10" t="s">
        <v>439</v>
      </c>
      <c r="N97" s="252" t="s">
        <v>439</v>
      </c>
    </row>
    <row r="98" spans="4:14" x14ac:dyDescent="0.2">
      <c r="D98" s="259" t="s">
        <v>439</v>
      </c>
      <c r="E98" s="1" t="s">
        <v>439</v>
      </c>
      <c r="F98" s="1" t="s">
        <v>439</v>
      </c>
      <c r="G98" s="9" t="s">
        <v>439</v>
      </c>
      <c r="H98" s="1" t="s">
        <v>439</v>
      </c>
      <c r="I98" s="1" t="s">
        <v>439</v>
      </c>
      <c r="J98" s="1" t="s">
        <v>439</v>
      </c>
      <c r="K98" s="1" t="s">
        <v>439</v>
      </c>
      <c r="L98" s="119" t="s">
        <v>439</v>
      </c>
      <c r="M98" s="10" t="s">
        <v>439</v>
      </c>
      <c r="N98" s="252" t="s">
        <v>439</v>
      </c>
    </row>
    <row r="99" spans="4:14" x14ac:dyDescent="0.2">
      <c r="D99" s="259" t="s">
        <v>439</v>
      </c>
      <c r="E99" s="1" t="s">
        <v>439</v>
      </c>
      <c r="F99" s="1" t="s">
        <v>439</v>
      </c>
      <c r="G99" s="9" t="s">
        <v>439</v>
      </c>
      <c r="H99" s="1" t="s">
        <v>439</v>
      </c>
      <c r="I99" s="1" t="s">
        <v>439</v>
      </c>
      <c r="J99" s="1" t="s">
        <v>439</v>
      </c>
      <c r="K99" s="1" t="s">
        <v>439</v>
      </c>
      <c r="L99" s="119" t="s">
        <v>439</v>
      </c>
      <c r="M99" s="10" t="s">
        <v>439</v>
      </c>
      <c r="N99" s="252" t="s">
        <v>439</v>
      </c>
    </row>
    <row r="100" spans="4:14" x14ac:dyDescent="0.2">
      <c r="D100" s="259" t="s">
        <v>439</v>
      </c>
      <c r="E100" s="1" t="s">
        <v>439</v>
      </c>
      <c r="F100" s="1" t="s">
        <v>439</v>
      </c>
      <c r="G100" s="9" t="s">
        <v>439</v>
      </c>
      <c r="H100" s="1" t="s">
        <v>439</v>
      </c>
      <c r="I100" s="1" t="s">
        <v>439</v>
      </c>
      <c r="J100" s="1" t="s">
        <v>439</v>
      </c>
      <c r="K100" s="1" t="s">
        <v>439</v>
      </c>
      <c r="L100" s="119" t="s">
        <v>439</v>
      </c>
      <c r="M100" s="10" t="s">
        <v>439</v>
      </c>
      <c r="N100" s="252" t="s">
        <v>439</v>
      </c>
    </row>
    <row r="101" spans="4:14" x14ac:dyDescent="0.2">
      <c r="D101" s="259" t="s">
        <v>439</v>
      </c>
      <c r="E101" s="1" t="s">
        <v>439</v>
      </c>
      <c r="F101" s="1" t="s">
        <v>439</v>
      </c>
      <c r="G101" s="9" t="s">
        <v>439</v>
      </c>
      <c r="H101" s="1" t="s">
        <v>439</v>
      </c>
      <c r="I101" s="1" t="s">
        <v>439</v>
      </c>
      <c r="J101" s="1" t="s">
        <v>439</v>
      </c>
      <c r="K101" s="1" t="s">
        <v>439</v>
      </c>
      <c r="L101" s="119" t="s">
        <v>439</v>
      </c>
      <c r="M101" s="10" t="s">
        <v>439</v>
      </c>
      <c r="N101" s="252" t="s">
        <v>439</v>
      </c>
    </row>
    <row r="102" spans="4:14" x14ac:dyDescent="0.2">
      <c r="D102" s="259" t="s">
        <v>439</v>
      </c>
      <c r="E102" s="1" t="s">
        <v>439</v>
      </c>
      <c r="F102" s="1" t="s">
        <v>439</v>
      </c>
      <c r="G102" s="9" t="s">
        <v>439</v>
      </c>
      <c r="H102" s="1" t="s">
        <v>439</v>
      </c>
      <c r="I102" s="1" t="s">
        <v>439</v>
      </c>
      <c r="J102" s="1" t="s">
        <v>439</v>
      </c>
      <c r="K102" s="1" t="s">
        <v>439</v>
      </c>
      <c r="L102" s="119" t="s">
        <v>439</v>
      </c>
      <c r="M102" s="10" t="s">
        <v>439</v>
      </c>
      <c r="N102" s="252" t="s">
        <v>439</v>
      </c>
    </row>
    <row r="103" spans="4:14" x14ac:dyDescent="0.2">
      <c r="D103" s="259" t="s">
        <v>439</v>
      </c>
      <c r="E103" s="1" t="s">
        <v>439</v>
      </c>
      <c r="F103" s="1" t="s">
        <v>439</v>
      </c>
      <c r="G103" s="9" t="s">
        <v>439</v>
      </c>
      <c r="H103" s="1" t="s">
        <v>439</v>
      </c>
      <c r="I103" s="1" t="s">
        <v>439</v>
      </c>
      <c r="J103" s="1" t="s">
        <v>439</v>
      </c>
      <c r="K103" s="1" t="s">
        <v>439</v>
      </c>
      <c r="L103" s="119" t="s">
        <v>439</v>
      </c>
      <c r="M103" s="10" t="s">
        <v>439</v>
      </c>
      <c r="N103" s="252" t="s">
        <v>439</v>
      </c>
    </row>
    <row r="104" spans="4:14" x14ac:dyDescent="0.2">
      <c r="D104" s="259" t="s">
        <v>439</v>
      </c>
      <c r="E104" s="1" t="s">
        <v>439</v>
      </c>
      <c r="F104" s="1" t="s">
        <v>439</v>
      </c>
      <c r="G104" s="9" t="s">
        <v>439</v>
      </c>
      <c r="H104" s="1" t="s">
        <v>439</v>
      </c>
      <c r="I104" s="1" t="s">
        <v>439</v>
      </c>
      <c r="J104" s="1" t="s">
        <v>439</v>
      </c>
      <c r="K104" s="1" t="s">
        <v>439</v>
      </c>
      <c r="L104" s="119" t="s">
        <v>439</v>
      </c>
      <c r="M104" s="10" t="s">
        <v>439</v>
      </c>
      <c r="N104" s="252" t="s">
        <v>439</v>
      </c>
    </row>
    <row r="105" spans="4:14" x14ac:dyDescent="0.2">
      <c r="D105" s="259" t="s">
        <v>439</v>
      </c>
      <c r="E105" s="1" t="s">
        <v>439</v>
      </c>
      <c r="F105" s="1" t="s">
        <v>439</v>
      </c>
      <c r="G105" s="9" t="s">
        <v>439</v>
      </c>
      <c r="H105" s="1" t="s">
        <v>439</v>
      </c>
      <c r="I105" s="1" t="s">
        <v>439</v>
      </c>
      <c r="J105" s="1" t="s">
        <v>439</v>
      </c>
      <c r="K105" s="1" t="s">
        <v>439</v>
      </c>
      <c r="L105" s="119" t="s">
        <v>439</v>
      </c>
      <c r="M105" s="10" t="s">
        <v>439</v>
      </c>
      <c r="N105" s="252" t="s">
        <v>439</v>
      </c>
    </row>
    <row r="106" spans="4:14" x14ac:dyDescent="0.2">
      <c r="D106" s="259" t="s">
        <v>439</v>
      </c>
      <c r="E106" s="1" t="s">
        <v>439</v>
      </c>
      <c r="F106" s="1" t="s">
        <v>439</v>
      </c>
      <c r="G106" s="9" t="s">
        <v>439</v>
      </c>
      <c r="H106" s="1" t="s">
        <v>439</v>
      </c>
      <c r="I106" s="1" t="s">
        <v>439</v>
      </c>
      <c r="J106" s="1" t="s">
        <v>439</v>
      </c>
      <c r="K106" s="1" t="s">
        <v>439</v>
      </c>
      <c r="L106" s="119" t="s">
        <v>439</v>
      </c>
      <c r="M106" s="10" t="s">
        <v>439</v>
      </c>
      <c r="N106" s="252" t="s">
        <v>439</v>
      </c>
    </row>
    <row r="107" spans="4:14" x14ac:dyDescent="0.2">
      <c r="D107" s="259" t="s">
        <v>439</v>
      </c>
      <c r="E107" s="1" t="s">
        <v>439</v>
      </c>
      <c r="F107" s="1" t="s">
        <v>439</v>
      </c>
      <c r="G107" s="9" t="s">
        <v>439</v>
      </c>
      <c r="H107" s="1" t="s">
        <v>439</v>
      </c>
      <c r="I107" s="1" t="s">
        <v>439</v>
      </c>
      <c r="J107" s="1" t="s">
        <v>439</v>
      </c>
      <c r="K107" s="1" t="s">
        <v>439</v>
      </c>
      <c r="L107" s="119" t="s">
        <v>439</v>
      </c>
      <c r="M107" s="10" t="s">
        <v>439</v>
      </c>
      <c r="N107" s="252" t="s">
        <v>439</v>
      </c>
    </row>
    <row r="108" spans="4:14" x14ac:dyDescent="0.2">
      <c r="D108" s="259" t="s">
        <v>439</v>
      </c>
      <c r="E108" s="1" t="s">
        <v>439</v>
      </c>
      <c r="F108" s="1" t="s">
        <v>439</v>
      </c>
      <c r="G108" s="9" t="s">
        <v>439</v>
      </c>
      <c r="H108" s="1" t="s">
        <v>439</v>
      </c>
      <c r="I108" s="1" t="s">
        <v>439</v>
      </c>
      <c r="J108" s="1" t="s">
        <v>439</v>
      </c>
      <c r="K108" s="1" t="s">
        <v>439</v>
      </c>
      <c r="L108" s="119" t="s">
        <v>439</v>
      </c>
      <c r="M108" s="10" t="s">
        <v>439</v>
      </c>
      <c r="N108" s="252" t="s">
        <v>439</v>
      </c>
    </row>
    <row r="109" spans="4:14" x14ac:dyDescent="0.2">
      <c r="D109" s="259" t="s">
        <v>439</v>
      </c>
      <c r="E109" s="1" t="s">
        <v>439</v>
      </c>
      <c r="F109" s="1" t="s">
        <v>439</v>
      </c>
      <c r="G109" s="9" t="s">
        <v>439</v>
      </c>
      <c r="H109" s="1" t="s">
        <v>439</v>
      </c>
      <c r="I109" s="1" t="s">
        <v>439</v>
      </c>
      <c r="J109" s="1" t="s">
        <v>439</v>
      </c>
      <c r="K109" s="1" t="s">
        <v>439</v>
      </c>
      <c r="L109" s="119" t="s">
        <v>439</v>
      </c>
      <c r="M109" s="10" t="s">
        <v>439</v>
      </c>
      <c r="N109" s="252" t="s">
        <v>439</v>
      </c>
    </row>
    <row r="110" spans="4:14" x14ac:dyDescent="0.2">
      <c r="D110" s="259" t="s">
        <v>439</v>
      </c>
      <c r="E110" s="1" t="s">
        <v>439</v>
      </c>
      <c r="F110" s="1" t="s">
        <v>439</v>
      </c>
      <c r="G110" s="9" t="s">
        <v>439</v>
      </c>
      <c r="H110" s="1" t="s">
        <v>439</v>
      </c>
      <c r="I110" s="1" t="s">
        <v>439</v>
      </c>
      <c r="J110" s="1" t="s">
        <v>439</v>
      </c>
      <c r="K110" s="1" t="s">
        <v>439</v>
      </c>
      <c r="L110" s="119" t="s">
        <v>439</v>
      </c>
      <c r="M110" s="10" t="s">
        <v>439</v>
      </c>
      <c r="N110" s="252" t="s">
        <v>439</v>
      </c>
    </row>
    <row r="111" spans="4:14" x14ac:dyDescent="0.2">
      <c r="D111" s="259" t="s">
        <v>439</v>
      </c>
      <c r="E111" s="1" t="s">
        <v>439</v>
      </c>
      <c r="F111" s="1" t="s">
        <v>439</v>
      </c>
      <c r="G111" s="9" t="s">
        <v>439</v>
      </c>
      <c r="H111" s="1" t="s">
        <v>439</v>
      </c>
      <c r="I111" s="1" t="s">
        <v>439</v>
      </c>
      <c r="J111" s="1" t="s">
        <v>439</v>
      </c>
      <c r="K111" s="1" t="s">
        <v>439</v>
      </c>
      <c r="L111" s="119" t="s">
        <v>439</v>
      </c>
      <c r="M111" s="10" t="s">
        <v>439</v>
      </c>
      <c r="N111" s="252" t="s">
        <v>439</v>
      </c>
    </row>
    <row r="112" spans="4:14" x14ac:dyDescent="0.2">
      <c r="D112" s="259" t="s">
        <v>439</v>
      </c>
      <c r="E112" s="1" t="s">
        <v>439</v>
      </c>
      <c r="F112" s="1" t="s">
        <v>439</v>
      </c>
      <c r="G112" s="9" t="s">
        <v>439</v>
      </c>
      <c r="H112" s="1" t="s">
        <v>439</v>
      </c>
      <c r="I112" s="1" t="s">
        <v>439</v>
      </c>
      <c r="J112" s="1" t="s">
        <v>439</v>
      </c>
      <c r="K112" s="1" t="s">
        <v>439</v>
      </c>
      <c r="L112" s="119" t="s">
        <v>439</v>
      </c>
      <c r="M112" s="10" t="s">
        <v>439</v>
      </c>
      <c r="N112" s="252" t="s">
        <v>439</v>
      </c>
    </row>
    <row r="113" spans="4:14" x14ac:dyDescent="0.2">
      <c r="D113" s="259" t="s">
        <v>439</v>
      </c>
      <c r="E113" s="1" t="s">
        <v>439</v>
      </c>
      <c r="F113" s="1" t="s">
        <v>439</v>
      </c>
      <c r="G113" s="9" t="s">
        <v>439</v>
      </c>
      <c r="H113" s="1" t="s">
        <v>439</v>
      </c>
      <c r="I113" s="1" t="s">
        <v>439</v>
      </c>
      <c r="J113" s="1" t="s">
        <v>439</v>
      </c>
      <c r="K113" s="1" t="s">
        <v>439</v>
      </c>
      <c r="L113" s="119" t="s">
        <v>439</v>
      </c>
      <c r="M113" s="10" t="s">
        <v>439</v>
      </c>
      <c r="N113" s="252" t="s">
        <v>439</v>
      </c>
    </row>
    <row r="114" spans="4:14" x14ac:dyDescent="0.2">
      <c r="D114" s="259" t="s">
        <v>439</v>
      </c>
      <c r="E114" s="1" t="s">
        <v>439</v>
      </c>
      <c r="F114" s="1" t="s">
        <v>439</v>
      </c>
      <c r="G114" s="9" t="s">
        <v>439</v>
      </c>
      <c r="H114" s="1" t="s">
        <v>439</v>
      </c>
      <c r="I114" s="1" t="s">
        <v>439</v>
      </c>
      <c r="J114" s="1" t="s">
        <v>439</v>
      </c>
      <c r="K114" s="1" t="s">
        <v>439</v>
      </c>
      <c r="L114" s="119" t="s">
        <v>439</v>
      </c>
      <c r="M114" s="10" t="s">
        <v>439</v>
      </c>
      <c r="N114" s="252" t="s">
        <v>439</v>
      </c>
    </row>
    <row r="115" spans="4:14" x14ac:dyDescent="0.2">
      <c r="D115" s="259" t="s">
        <v>439</v>
      </c>
      <c r="E115" s="1" t="s">
        <v>439</v>
      </c>
      <c r="F115" s="1" t="s">
        <v>439</v>
      </c>
      <c r="G115" s="9" t="s">
        <v>439</v>
      </c>
      <c r="H115" s="1" t="s">
        <v>439</v>
      </c>
      <c r="I115" s="1" t="s">
        <v>439</v>
      </c>
      <c r="J115" s="1" t="s">
        <v>439</v>
      </c>
      <c r="K115" s="1" t="s">
        <v>439</v>
      </c>
      <c r="L115" s="119" t="s">
        <v>439</v>
      </c>
      <c r="M115" s="10" t="s">
        <v>439</v>
      </c>
      <c r="N115" s="252" t="s">
        <v>439</v>
      </c>
    </row>
    <row r="116" spans="4:14" x14ac:dyDescent="0.2">
      <c r="D116" s="259" t="s">
        <v>439</v>
      </c>
      <c r="E116" s="1" t="s">
        <v>439</v>
      </c>
      <c r="F116" s="1" t="s">
        <v>439</v>
      </c>
      <c r="G116" s="9" t="s">
        <v>439</v>
      </c>
      <c r="H116" s="1" t="s">
        <v>439</v>
      </c>
      <c r="I116" s="1" t="s">
        <v>439</v>
      </c>
      <c r="J116" s="1" t="s">
        <v>439</v>
      </c>
      <c r="K116" s="1" t="s">
        <v>439</v>
      </c>
      <c r="L116" s="119" t="s">
        <v>439</v>
      </c>
      <c r="M116" s="10" t="s">
        <v>439</v>
      </c>
      <c r="N116" s="252" t="s">
        <v>439</v>
      </c>
    </row>
    <row r="117" spans="4:14" x14ac:dyDescent="0.2">
      <c r="D117" s="259" t="s">
        <v>439</v>
      </c>
      <c r="E117" s="1" t="s">
        <v>439</v>
      </c>
      <c r="F117" s="1" t="s">
        <v>439</v>
      </c>
      <c r="G117" s="9" t="s">
        <v>439</v>
      </c>
      <c r="H117" s="1" t="s">
        <v>439</v>
      </c>
      <c r="I117" s="1" t="s">
        <v>439</v>
      </c>
      <c r="J117" s="1" t="s">
        <v>439</v>
      </c>
      <c r="K117" s="1" t="s">
        <v>439</v>
      </c>
      <c r="L117" s="119" t="s">
        <v>439</v>
      </c>
      <c r="M117" s="10" t="s">
        <v>439</v>
      </c>
      <c r="N117" s="252" t="s">
        <v>439</v>
      </c>
    </row>
    <row r="118" spans="4:14" x14ac:dyDescent="0.2">
      <c r="D118" s="259" t="s">
        <v>439</v>
      </c>
      <c r="E118" s="1" t="s">
        <v>439</v>
      </c>
      <c r="F118" s="1" t="s">
        <v>439</v>
      </c>
      <c r="G118" s="9" t="s">
        <v>439</v>
      </c>
      <c r="H118" s="1" t="s">
        <v>439</v>
      </c>
      <c r="I118" s="1" t="s">
        <v>439</v>
      </c>
      <c r="J118" s="1" t="s">
        <v>439</v>
      </c>
      <c r="K118" s="1" t="s">
        <v>439</v>
      </c>
      <c r="L118" s="119" t="s">
        <v>439</v>
      </c>
      <c r="M118" s="10" t="s">
        <v>439</v>
      </c>
      <c r="N118" s="252" t="s">
        <v>439</v>
      </c>
    </row>
    <row r="119" spans="4:14" x14ac:dyDescent="0.2">
      <c r="D119" s="259" t="s">
        <v>439</v>
      </c>
      <c r="E119" s="1" t="s">
        <v>439</v>
      </c>
      <c r="F119" s="1" t="s">
        <v>439</v>
      </c>
      <c r="G119" s="9" t="s">
        <v>439</v>
      </c>
      <c r="H119" s="1" t="s">
        <v>439</v>
      </c>
      <c r="I119" s="1" t="s">
        <v>439</v>
      </c>
      <c r="J119" s="1" t="s">
        <v>439</v>
      </c>
      <c r="K119" s="1" t="s">
        <v>439</v>
      </c>
      <c r="L119" s="119" t="s">
        <v>439</v>
      </c>
      <c r="M119" s="10" t="s">
        <v>439</v>
      </c>
      <c r="N119" s="252" t="s">
        <v>439</v>
      </c>
    </row>
    <row r="120" spans="4:14" x14ac:dyDescent="0.2">
      <c r="D120" s="259" t="s">
        <v>439</v>
      </c>
      <c r="E120" s="1" t="s">
        <v>439</v>
      </c>
      <c r="F120" s="1" t="s">
        <v>439</v>
      </c>
      <c r="G120" s="9" t="s">
        <v>439</v>
      </c>
      <c r="H120" s="1" t="s">
        <v>439</v>
      </c>
      <c r="I120" s="1" t="s">
        <v>439</v>
      </c>
      <c r="J120" s="1" t="s">
        <v>439</v>
      </c>
      <c r="K120" s="1" t="s">
        <v>439</v>
      </c>
      <c r="L120" s="119" t="s">
        <v>439</v>
      </c>
      <c r="M120" s="10" t="s">
        <v>439</v>
      </c>
      <c r="N120" s="252" t="s">
        <v>439</v>
      </c>
    </row>
    <row r="121" spans="4:14" x14ac:dyDescent="0.2">
      <c r="D121" s="259" t="s">
        <v>439</v>
      </c>
      <c r="E121" s="1" t="s">
        <v>439</v>
      </c>
      <c r="F121" s="1" t="s">
        <v>439</v>
      </c>
      <c r="G121" s="9" t="s">
        <v>439</v>
      </c>
      <c r="H121" s="1" t="s">
        <v>439</v>
      </c>
      <c r="I121" s="1" t="s">
        <v>439</v>
      </c>
      <c r="J121" s="1" t="s">
        <v>439</v>
      </c>
      <c r="K121" s="1" t="s">
        <v>439</v>
      </c>
      <c r="L121" s="119" t="s">
        <v>439</v>
      </c>
      <c r="M121" s="10" t="s">
        <v>439</v>
      </c>
      <c r="N121" s="252" t="s">
        <v>439</v>
      </c>
    </row>
    <row r="122" spans="4:14" x14ac:dyDescent="0.2">
      <c r="D122" s="259" t="s">
        <v>439</v>
      </c>
      <c r="E122" s="1" t="s">
        <v>439</v>
      </c>
      <c r="F122" s="1" t="s">
        <v>439</v>
      </c>
      <c r="G122" s="9" t="s">
        <v>439</v>
      </c>
      <c r="H122" s="1" t="s">
        <v>439</v>
      </c>
      <c r="I122" s="1" t="s">
        <v>439</v>
      </c>
      <c r="J122" s="1" t="s">
        <v>439</v>
      </c>
      <c r="K122" s="1" t="s">
        <v>439</v>
      </c>
      <c r="L122" s="119" t="s">
        <v>439</v>
      </c>
      <c r="M122" s="10" t="s">
        <v>439</v>
      </c>
      <c r="N122" s="252" t="s">
        <v>439</v>
      </c>
    </row>
    <row r="123" spans="4:14" x14ac:dyDescent="0.2">
      <c r="D123" s="259" t="s">
        <v>439</v>
      </c>
      <c r="E123" s="1" t="s">
        <v>439</v>
      </c>
      <c r="F123" s="1" t="s">
        <v>439</v>
      </c>
      <c r="G123" s="9" t="s">
        <v>439</v>
      </c>
      <c r="H123" s="1" t="s">
        <v>439</v>
      </c>
      <c r="I123" s="1" t="s">
        <v>439</v>
      </c>
      <c r="J123" s="1" t="s">
        <v>439</v>
      </c>
      <c r="K123" s="1" t="s">
        <v>439</v>
      </c>
      <c r="L123" s="119" t="s">
        <v>439</v>
      </c>
      <c r="M123" s="10" t="s">
        <v>439</v>
      </c>
      <c r="N123" s="252" t="s">
        <v>439</v>
      </c>
    </row>
    <row r="124" spans="4:14" x14ac:dyDescent="0.2">
      <c r="D124" s="259" t="s">
        <v>439</v>
      </c>
      <c r="E124" s="1" t="s">
        <v>439</v>
      </c>
      <c r="F124" s="1" t="s">
        <v>439</v>
      </c>
      <c r="G124" s="9" t="s">
        <v>439</v>
      </c>
      <c r="H124" s="1" t="s">
        <v>439</v>
      </c>
      <c r="I124" s="1" t="s">
        <v>439</v>
      </c>
      <c r="J124" s="1" t="s">
        <v>439</v>
      </c>
      <c r="K124" s="1" t="s">
        <v>439</v>
      </c>
      <c r="L124" s="119" t="s">
        <v>439</v>
      </c>
      <c r="M124" s="10" t="s">
        <v>439</v>
      </c>
      <c r="N124" s="252" t="s">
        <v>439</v>
      </c>
    </row>
    <row r="125" spans="4:14" x14ac:dyDescent="0.2">
      <c r="D125" s="259" t="s">
        <v>439</v>
      </c>
      <c r="E125" s="1" t="s">
        <v>439</v>
      </c>
      <c r="F125" s="1" t="s">
        <v>439</v>
      </c>
      <c r="G125" s="9" t="s">
        <v>439</v>
      </c>
      <c r="H125" s="1" t="s">
        <v>439</v>
      </c>
      <c r="I125" s="1" t="s">
        <v>439</v>
      </c>
      <c r="J125" s="1" t="s">
        <v>439</v>
      </c>
      <c r="K125" s="1" t="s">
        <v>439</v>
      </c>
      <c r="L125" s="119" t="s">
        <v>439</v>
      </c>
      <c r="M125" s="10" t="s">
        <v>439</v>
      </c>
      <c r="N125" s="252" t="s">
        <v>439</v>
      </c>
    </row>
    <row r="126" spans="4:14" x14ac:dyDescent="0.2">
      <c r="D126" s="259" t="s">
        <v>439</v>
      </c>
      <c r="E126" s="1" t="s">
        <v>439</v>
      </c>
      <c r="F126" s="1" t="s">
        <v>439</v>
      </c>
      <c r="G126" s="9" t="s">
        <v>439</v>
      </c>
      <c r="H126" s="1" t="s">
        <v>439</v>
      </c>
      <c r="I126" s="1" t="s">
        <v>439</v>
      </c>
      <c r="J126" s="1" t="s">
        <v>439</v>
      </c>
      <c r="K126" s="1" t="s">
        <v>439</v>
      </c>
      <c r="L126" s="119" t="s">
        <v>439</v>
      </c>
      <c r="M126" s="10" t="s">
        <v>439</v>
      </c>
      <c r="N126" s="252" t="s">
        <v>439</v>
      </c>
    </row>
    <row r="127" spans="4:14" x14ac:dyDescent="0.2">
      <c r="D127" s="259" t="s">
        <v>439</v>
      </c>
      <c r="E127" s="1" t="s">
        <v>439</v>
      </c>
      <c r="F127" s="1" t="s">
        <v>439</v>
      </c>
      <c r="G127" s="9" t="s">
        <v>439</v>
      </c>
      <c r="H127" s="1" t="s">
        <v>439</v>
      </c>
      <c r="I127" s="1" t="s">
        <v>439</v>
      </c>
      <c r="J127" s="1" t="s">
        <v>439</v>
      </c>
      <c r="K127" s="1" t="s">
        <v>439</v>
      </c>
      <c r="L127" s="119" t="s">
        <v>439</v>
      </c>
      <c r="M127" s="10" t="s">
        <v>439</v>
      </c>
      <c r="N127" s="252" t="s">
        <v>439</v>
      </c>
    </row>
    <row r="128" spans="4:14" x14ac:dyDescent="0.2">
      <c r="D128" s="259" t="s">
        <v>439</v>
      </c>
      <c r="E128" s="1" t="s">
        <v>439</v>
      </c>
      <c r="F128" s="1" t="s">
        <v>439</v>
      </c>
      <c r="G128" s="9" t="s">
        <v>439</v>
      </c>
      <c r="H128" s="1" t="s">
        <v>439</v>
      </c>
      <c r="I128" s="1" t="s">
        <v>439</v>
      </c>
      <c r="J128" s="1" t="s">
        <v>439</v>
      </c>
      <c r="K128" s="1" t="s">
        <v>439</v>
      </c>
      <c r="L128" s="119" t="s">
        <v>439</v>
      </c>
      <c r="M128" s="10" t="s">
        <v>439</v>
      </c>
      <c r="N128" s="252" t="s">
        <v>439</v>
      </c>
    </row>
    <row r="129" spans="4:14" x14ac:dyDescent="0.2">
      <c r="D129" s="259" t="s">
        <v>439</v>
      </c>
      <c r="E129" s="1" t="s">
        <v>439</v>
      </c>
      <c r="F129" s="1" t="s">
        <v>439</v>
      </c>
      <c r="G129" s="9" t="s">
        <v>439</v>
      </c>
      <c r="H129" s="1" t="s">
        <v>439</v>
      </c>
      <c r="I129" s="1" t="s">
        <v>439</v>
      </c>
      <c r="J129" s="1" t="s">
        <v>439</v>
      </c>
      <c r="K129" s="1" t="s">
        <v>439</v>
      </c>
      <c r="L129" s="119" t="s">
        <v>439</v>
      </c>
      <c r="M129" s="10" t="s">
        <v>439</v>
      </c>
      <c r="N129" s="252" t="s">
        <v>439</v>
      </c>
    </row>
    <row r="130" spans="4:14" x14ac:dyDescent="0.2">
      <c r="D130" s="259" t="s">
        <v>439</v>
      </c>
      <c r="E130" s="1" t="s">
        <v>439</v>
      </c>
      <c r="F130" s="1" t="s">
        <v>439</v>
      </c>
      <c r="G130" s="9" t="s">
        <v>439</v>
      </c>
      <c r="H130" s="1" t="s">
        <v>439</v>
      </c>
      <c r="I130" s="1" t="s">
        <v>439</v>
      </c>
      <c r="J130" s="1" t="s">
        <v>439</v>
      </c>
      <c r="K130" s="1" t="s">
        <v>439</v>
      </c>
      <c r="L130" s="119" t="s">
        <v>439</v>
      </c>
      <c r="M130" s="10" t="s">
        <v>439</v>
      </c>
      <c r="N130" s="252" t="s">
        <v>439</v>
      </c>
    </row>
    <row r="131" spans="4:14" x14ac:dyDescent="0.2">
      <c r="D131" s="259" t="s">
        <v>439</v>
      </c>
      <c r="E131" s="1" t="s">
        <v>439</v>
      </c>
      <c r="F131" s="1" t="s">
        <v>439</v>
      </c>
      <c r="G131" s="9" t="s">
        <v>439</v>
      </c>
      <c r="H131" s="1" t="s">
        <v>439</v>
      </c>
      <c r="I131" s="1" t="s">
        <v>439</v>
      </c>
      <c r="J131" s="1" t="s">
        <v>439</v>
      </c>
      <c r="K131" s="1" t="s">
        <v>439</v>
      </c>
      <c r="L131" s="119" t="s">
        <v>439</v>
      </c>
      <c r="M131" s="10" t="s">
        <v>439</v>
      </c>
      <c r="N131" s="252" t="s">
        <v>439</v>
      </c>
    </row>
    <row r="132" spans="4:14" x14ac:dyDescent="0.2">
      <c r="D132" s="259" t="s">
        <v>439</v>
      </c>
      <c r="E132" s="1" t="s">
        <v>439</v>
      </c>
      <c r="F132" s="1" t="s">
        <v>439</v>
      </c>
      <c r="G132" s="9" t="s">
        <v>439</v>
      </c>
      <c r="H132" s="1" t="s">
        <v>439</v>
      </c>
      <c r="I132" s="1" t="s">
        <v>439</v>
      </c>
      <c r="J132" s="1" t="s">
        <v>439</v>
      </c>
      <c r="K132" s="1" t="s">
        <v>439</v>
      </c>
      <c r="L132" s="119" t="s">
        <v>439</v>
      </c>
      <c r="M132" s="10" t="s">
        <v>439</v>
      </c>
      <c r="N132" s="252" t="s">
        <v>439</v>
      </c>
    </row>
    <row r="133" spans="4:14" x14ac:dyDescent="0.2">
      <c r="D133" s="259" t="s">
        <v>439</v>
      </c>
      <c r="E133" s="1" t="s">
        <v>439</v>
      </c>
      <c r="F133" s="1" t="s">
        <v>439</v>
      </c>
      <c r="G133" s="9" t="s">
        <v>439</v>
      </c>
      <c r="H133" s="1" t="s">
        <v>439</v>
      </c>
      <c r="I133" s="1" t="s">
        <v>439</v>
      </c>
      <c r="J133" s="1" t="s">
        <v>439</v>
      </c>
      <c r="K133" s="1" t="s">
        <v>439</v>
      </c>
      <c r="L133" s="119" t="s">
        <v>439</v>
      </c>
      <c r="M133" s="10" t="s">
        <v>439</v>
      </c>
      <c r="N133" s="252" t="s">
        <v>439</v>
      </c>
    </row>
    <row r="134" spans="4:14" x14ac:dyDescent="0.2">
      <c r="D134" s="259" t="s">
        <v>439</v>
      </c>
      <c r="E134" s="1" t="s">
        <v>439</v>
      </c>
      <c r="F134" s="1" t="s">
        <v>439</v>
      </c>
      <c r="G134" s="9" t="s">
        <v>439</v>
      </c>
      <c r="H134" s="1" t="s">
        <v>439</v>
      </c>
      <c r="I134" s="1" t="s">
        <v>439</v>
      </c>
      <c r="J134" s="1" t="s">
        <v>439</v>
      </c>
      <c r="K134" s="1" t="s">
        <v>439</v>
      </c>
      <c r="L134" s="119" t="s">
        <v>439</v>
      </c>
      <c r="M134" s="10" t="s">
        <v>439</v>
      </c>
      <c r="N134" s="252" t="s">
        <v>439</v>
      </c>
    </row>
    <row r="135" spans="4:14" x14ac:dyDescent="0.2">
      <c r="D135" s="259" t="s">
        <v>439</v>
      </c>
      <c r="E135" s="1" t="s">
        <v>439</v>
      </c>
      <c r="F135" s="1" t="s">
        <v>439</v>
      </c>
      <c r="G135" s="9" t="s">
        <v>439</v>
      </c>
      <c r="H135" s="1" t="s">
        <v>439</v>
      </c>
      <c r="I135" s="1" t="s">
        <v>439</v>
      </c>
      <c r="J135" s="1" t="s">
        <v>439</v>
      </c>
      <c r="K135" s="1" t="s">
        <v>439</v>
      </c>
      <c r="L135" s="119" t="s">
        <v>439</v>
      </c>
      <c r="M135" s="10" t="s">
        <v>439</v>
      </c>
      <c r="N135" s="252" t="s">
        <v>439</v>
      </c>
    </row>
    <row r="136" spans="4:14" x14ac:dyDescent="0.2">
      <c r="D136" s="259" t="s">
        <v>439</v>
      </c>
      <c r="E136" s="1" t="s">
        <v>439</v>
      </c>
      <c r="F136" s="1" t="s">
        <v>439</v>
      </c>
      <c r="G136" s="9" t="s">
        <v>439</v>
      </c>
      <c r="H136" s="1" t="s">
        <v>439</v>
      </c>
      <c r="I136" s="1" t="s">
        <v>439</v>
      </c>
      <c r="J136" s="1" t="s">
        <v>439</v>
      </c>
      <c r="K136" s="1" t="s">
        <v>439</v>
      </c>
      <c r="L136" s="119" t="s">
        <v>439</v>
      </c>
      <c r="M136" s="10" t="s">
        <v>439</v>
      </c>
      <c r="N136" s="252" t="s">
        <v>439</v>
      </c>
    </row>
    <row r="137" spans="4:14" x14ac:dyDescent="0.2">
      <c r="D137" s="259" t="s">
        <v>439</v>
      </c>
      <c r="E137" s="1" t="s">
        <v>439</v>
      </c>
      <c r="F137" s="1" t="s">
        <v>439</v>
      </c>
      <c r="G137" s="9" t="s">
        <v>439</v>
      </c>
      <c r="H137" s="1" t="s">
        <v>439</v>
      </c>
      <c r="I137" s="1" t="s">
        <v>439</v>
      </c>
      <c r="J137" s="1" t="s">
        <v>439</v>
      </c>
      <c r="K137" s="1" t="s">
        <v>439</v>
      </c>
      <c r="L137" s="119" t="s">
        <v>439</v>
      </c>
      <c r="M137" s="10" t="s">
        <v>439</v>
      </c>
      <c r="N137" s="252" t="s">
        <v>439</v>
      </c>
    </row>
    <row r="138" spans="4:14" x14ac:dyDescent="0.2">
      <c r="D138" s="259" t="s">
        <v>439</v>
      </c>
      <c r="E138" s="1" t="s">
        <v>439</v>
      </c>
      <c r="F138" s="1" t="s">
        <v>439</v>
      </c>
      <c r="G138" s="9" t="s">
        <v>439</v>
      </c>
      <c r="H138" s="1" t="s">
        <v>439</v>
      </c>
      <c r="I138" s="1" t="s">
        <v>439</v>
      </c>
      <c r="J138" s="1" t="s">
        <v>439</v>
      </c>
      <c r="K138" s="1" t="s">
        <v>439</v>
      </c>
      <c r="L138" s="119" t="s">
        <v>439</v>
      </c>
      <c r="M138" s="10" t="s">
        <v>439</v>
      </c>
      <c r="N138" s="252" t="s">
        <v>439</v>
      </c>
    </row>
    <row r="139" spans="4:14" x14ac:dyDescent="0.2">
      <c r="D139" s="259" t="s">
        <v>439</v>
      </c>
      <c r="E139" s="1" t="s">
        <v>439</v>
      </c>
      <c r="F139" s="1" t="s">
        <v>439</v>
      </c>
      <c r="G139" s="9" t="s">
        <v>439</v>
      </c>
      <c r="H139" s="1" t="s">
        <v>439</v>
      </c>
      <c r="I139" s="1" t="s">
        <v>439</v>
      </c>
      <c r="J139" s="1" t="s">
        <v>439</v>
      </c>
      <c r="K139" s="1" t="s">
        <v>439</v>
      </c>
      <c r="L139" s="119" t="s">
        <v>439</v>
      </c>
      <c r="M139" s="10" t="s">
        <v>439</v>
      </c>
      <c r="N139" s="252" t="s">
        <v>439</v>
      </c>
    </row>
    <row r="140" spans="4:14" x14ac:dyDescent="0.2">
      <c r="D140" s="259" t="s">
        <v>439</v>
      </c>
      <c r="E140" s="1" t="s">
        <v>439</v>
      </c>
      <c r="F140" s="1" t="s">
        <v>439</v>
      </c>
      <c r="G140" s="9" t="s">
        <v>439</v>
      </c>
      <c r="H140" s="1" t="s">
        <v>439</v>
      </c>
      <c r="I140" s="1" t="s">
        <v>439</v>
      </c>
      <c r="J140" s="1" t="s">
        <v>439</v>
      </c>
      <c r="K140" s="1" t="s">
        <v>439</v>
      </c>
      <c r="L140" s="119" t="s">
        <v>439</v>
      </c>
      <c r="M140" s="10" t="s">
        <v>439</v>
      </c>
      <c r="N140" s="252" t="s">
        <v>439</v>
      </c>
    </row>
    <row r="141" spans="4:14" x14ac:dyDescent="0.2">
      <c r="D141" s="259" t="s">
        <v>439</v>
      </c>
      <c r="E141" s="1" t="s">
        <v>439</v>
      </c>
      <c r="F141" s="1" t="s">
        <v>439</v>
      </c>
      <c r="G141" s="9" t="s">
        <v>439</v>
      </c>
      <c r="H141" s="1" t="s">
        <v>439</v>
      </c>
      <c r="I141" s="1" t="s">
        <v>439</v>
      </c>
      <c r="J141" s="1" t="s">
        <v>439</v>
      </c>
      <c r="K141" s="1" t="s">
        <v>439</v>
      </c>
      <c r="L141" s="119" t="s">
        <v>439</v>
      </c>
      <c r="M141" s="10" t="s">
        <v>439</v>
      </c>
      <c r="N141" s="252" t="s">
        <v>439</v>
      </c>
    </row>
    <row r="142" spans="4:14" x14ac:dyDescent="0.2">
      <c r="D142" s="259" t="s">
        <v>439</v>
      </c>
      <c r="E142" s="1" t="s">
        <v>439</v>
      </c>
      <c r="F142" s="1" t="s">
        <v>439</v>
      </c>
      <c r="G142" s="9" t="s">
        <v>439</v>
      </c>
      <c r="H142" s="1" t="s">
        <v>439</v>
      </c>
      <c r="I142" s="1" t="s">
        <v>439</v>
      </c>
      <c r="J142" s="1" t="s">
        <v>439</v>
      </c>
      <c r="K142" s="1" t="s">
        <v>439</v>
      </c>
      <c r="L142" s="119" t="s">
        <v>439</v>
      </c>
      <c r="M142" s="10" t="s">
        <v>439</v>
      </c>
      <c r="N142" s="252" t="s">
        <v>439</v>
      </c>
    </row>
    <row r="143" spans="4:14" x14ac:dyDescent="0.2">
      <c r="D143" s="259" t="s">
        <v>439</v>
      </c>
      <c r="E143" s="1" t="s">
        <v>439</v>
      </c>
      <c r="F143" s="1" t="s">
        <v>439</v>
      </c>
      <c r="G143" s="9" t="s">
        <v>439</v>
      </c>
      <c r="H143" s="1" t="s">
        <v>439</v>
      </c>
      <c r="I143" s="1" t="s">
        <v>439</v>
      </c>
      <c r="J143" s="1" t="s">
        <v>439</v>
      </c>
      <c r="K143" s="1" t="s">
        <v>439</v>
      </c>
      <c r="L143" s="119" t="s">
        <v>439</v>
      </c>
      <c r="M143" s="10" t="s">
        <v>439</v>
      </c>
      <c r="N143" s="252" t="s">
        <v>439</v>
      </c>
    </row>
    <row r="144" spans="4:14" x14ac:dyDescent="0.2">
      <c r="D144" s="259" t="s">
        <v>439</v>
      </c>
      <c r="E144" s="1" t="s">
        <v>439</v>
      </c>
      <c r="F144" s="1" t="s">
        <v>439</v>
      </c>
      <c r="G144" s="9" t="s">
        <v>439</v>
      </c>
      <c r="H144" s="1" t="s">
        <v>439</v>
      </c>
      <c r="I144" s="1" t="s">
        <v>439</v>
      </c>
      <c r="J144" s="1" t="s">
        <v>439</v>
      </c>
      <c r="K144" s="1" t="s">
        <v>439</v>
      </c>
      <c r="L144" s="119" t="s">
        <v>439</v>
      </c>
      <c r="M144" s="10" t="s">
        <v>439</v>
      </c>
      <c r="N144" s="252" t="s">
        <v>439</v>
      </c>
    </row>
    <row r="145" spans="4:14" x14ac:dyDescent="0.2">
      <c r="D145" s="259" t="s">
        <v>439</v>
      </c>
      <c r="E145" s="1" t="s">
        <v>439</v>
      </c>
      <c r="F145" s="1" t="s">
        <v>439</v>
      </c>
      <c r="G145" s="9" t="s">
        <v>439</v>
      </c>
      <c r="H145" s="1" t="s">
        <v>439</v>
      </c>
      <c r="I145" s="1" t="s">
        <v>439</v>
      </c>
      <c r="J145" s="1" t="s">
        <v>439</v>
      </c>
      <c r="K145" s="1" t="s">
        <v>439</v>
      </c>
      <c r="L145" s="119" t="s">
        <v>439</v>
      </c>
      <c r="M145" s="10" t="s">
        <v>439</v>
      </c>
      <c r="N145" s="252" t="s">
        <v>439</v>
      </c>
    </row>
    <row r="146" spans="4:14" x14ac:dyDescent="0.2">
      <c r="D146" s="259" t="s">
        <v>439</v>
      </c>
      <c r="E146" s="1" t="s">
        <v>439</v>
      </c>
      <c r="F146" s="1" t="s">
        <v>439</v>
      </c>
      <c r="G146" s="9" t="s">
        <v>439</v>
      </c>
      <c r="H146" s="1" t="s">
        <v>439</v>
      </c>
      <c r="I146" s="1" t="s">
        <v>439</v>
      </c>
      <c r="J146" s="1" t="s">
        <v>439</v>
      </c>
      <c r="K146" s="1" t="s">
        <v>439</v>
      </c>
      <c r="L146" s="119" t="s">
        <v>439</v>
      </c>
      <c r="M146" s="10" t="s">
        <v>439</v>
      </c>
      <c r="N146" s="252" t="s">
        <v>439</v>
      </c>
    </row>
    <row r="147" spans="4:14" x14ac:dyDescent="0.2">
      <c r="D147" s="259" t="s">
        <v>439</v>
      </c>
      <c r="E147" s="1" t="s">
        <v>439</v>
      </c>
      <c r="F147" s="1" t="s">
        <v>439</v>
      </c>
      <c r="G147" s="9" t="s">
        <v>439</v>
      </c>
      <c r="H147" s="1" t="s">
        <v>439</v>
      </c>
      <c r="I147" s="1" t="s">
        <v>439</v>
      </c>
      <c r="J147" s="1" t="s">
        <v>439</v>
      </c>
      <c r="K147" s="1" t="s">
        <v>439</v>
      </c>
      <c r="L147" s="119" t="s">
        <v>439</v>
      </c>
      <c r="M147" s="10" t="s">
        <v>439</v>
      </c>
      <c r="N147" s="252" t="s">
        <v>439</v>
      </c>
    </row>
    <row r="148" spans="4:14" x14ac:dyDescent="0.2">
      <c r="D148" s="259" t="s">
        <v>439</v>
      </c>
      <c r="E148" s="1" t="s">
        <v>439</v>
      </c>
      <c r="F148" s="1" t="s">
        <v>439</v>
      </c>
      <c r="G148" s="9" t="s">
        <v>439</v>
      </c>
      <c r="H148" s="1" t="s">
        <v>439</v>
      </c>
      <c r="I148" s="1" t="s">
        <v>439</v>
      </c>
      <c r="J148" s="1" t="s">
        <v>439</v>
      </c>
      <c r="K148" s="1" t="s">
        <v>439</v>
      </c>
      <c r="L148" s="119" t="s">
        <v>439</v>
      </c>
      <c r="M148" s="10" t="s">
        <v>439</v>
      </c>
      <c r="N148" s="252" t="s">
        <v>439</v>
      </c>
    </row>
    <row r="149" spans="4:14" x14ac:dyDescent="0.2">
      <c r="D149" s="259" t="s">
        <v>439</v>
      </c>
      <c r="E149" s="1" t="s">
        <v>439</v>
      </c>
      <c r="F149" s="1" t="s">
        <v>439</v>
      </c>
      <c r="G149" s="9" t="s">
        <v>439</v>
      </c>
      <c r="H149" s="1" t="s">
        <v>439</v>
      </c>
      <c r="I149" s="1" t="s">
        <v>439</v>
      </c>
      <c r="J149" s="1" t="s">
        <v>439</v>
      </c>
      <c r="K149" s="1" t="s">
        <v>439</v>
      </c>
      <c r="L149" s="119" t="s">
        <v>439</v>
      </c>
      <c r="M149" s="10" t="s">
        <v>439</v>
      </c>
      <c r="N149" s="252" t="s">
        <v>439</v>
      </c>
    </row>
    <row r="150" spans="4:14" x14ac:dyDescent="0.2">
      <c r="D150" s="259" t="s">
        <v>439</v>
      </c>
      <c r="E150" s="1" t="s">
        <v>439</v>
      </c>
      <c r="F150" s="1" t="s">
        <v>439</v>
      </c>
      <c r="G150" s="9" t="s">
        <v>439</v>
      </c>
      <c r="H150" s="1" t="s">
        <v>439</v>
      </c>
      <c r="I150" s="1" t="s">
        <v>439</v>
      </c>
      <c r="J150" s="1" t="s">
        <v>439</v>
      </c>
      <c r="K150" s="1" t="s">
        <v>439</v>
      </c>
      <c r="L150" s="119" t="s">
        <v>439</v>
      </c>
      <c r="M150" s="10" t="s">
        <v>439</v>
      </c>
      <c r="N150" s="252" t="s">
        <v>439</v>
      </c>
    </row>
    <row r="151" spans="4:14" x14ac:dyDescent="0.2">
      <c r="D151" s="259" t="s">
        <v>439</v>
      </c>
      <c r="E151" s="1" t="s">
        <v>439</v>
      </c>
      <c r="F151" s="1" t="s">
        <v>439</v>
      </c>
      <c r="G151" s="9" t="s">
        <v>439</v>
      </c>
      <c r="H151" s="1" t="s">
        <v>439</v>
      </c>
      <c r="I151" s="1" t="s">
        <v>439</v>
      </c>
      <c r="J151" s="1" t="s">
        <v>439</v>
      </c>
      <c r="K151" s="1" t="s">
        <v>439</v>
      </c>
      <c r="L151" s="119" t="s">
        <v>439</v>
      </c>
      <c r="M151" s="10" t="s">
        <v>439</v>
      </c>
      <c r="N151" s="252" t="s">
        <v>439</v>
      </c>
    </row>
    <row r="152" spans="4:14" x14ac:dyDescent="0.2">
      <c r="D152" s="259" t="s">
        <v>439</v>
      </c>
      <c r="E152" s="1" t="s">
        <v>439</v>
      </c>
      <c r="F152" s="1" t="s">
        <v>439</v>
      </c>
      <c r="G152" s="9" t="s">
        <v>439</v>
      </c>
      <c r="H152" s="1" t="s">
        <v>439</v>
      </c>
      <c r="I152" s="1" t="s">
        <v>439</v>
      </c>
      <c r="J152" s="1" t="s">
        <v>439</v>
      </c>
      <c r="K152" s="1" t="s">
        <v>439</v>
      </c>
      <c r="L152" s="119" t="s">
        <v>439</v>
      </c>
      <c r="M152" s="10" t="s">
        <v>439</v>
      </c>
      <c r="N152" s="252" t="s">
        <v>439</v>
      </c>
    </row>
    <row r="153" spans="4:14" x14ac:dyDescent="0.2">
      <c r="D153" s="259" t="s">
        <v>439</v>
      </c>
      <c r="E153" s="1" t="s">
        <v>439</v>
      </c>
      <c r="F153" s="1" t="s">
        <v>439</v>
      </c>
      <c r="G153" s="9" t="s">
        <v>439</v>
      </c>
      <c r="H153" s="1" t="s">
        <v>439</v>
      </c>
      <c r="I153" s="1" t="s">
        <v>439</v>
      </c>
      <c r="J153" s="1" t="s">
        <v>439</v>
      </c>
      <c r="K153" s="1" t="s">
        <v>439</v>
      </c>
      <c r="L153" s="119" t="s">
        <v>439</v>
      </c>
      <c r="M153" s="10" t="s">
        <v>439</v>
      </c>
      <c r="N153" s="252" t="s">
        <v>439</v>
      </c>
    </row>
    <row r="154" spans="4:14" x14ac:dyDescent="0.2">
      <c r="D154" s="259" t="s">
        <v>439</v>
      </c>
      <c r="E154" s="1" t="s">
        <v>439</v>
      </c>
      <c r="F154" s="1" t="s">
        <v>439</v>
      </c>
      <c r="G154" s="9" t="s">
        <v>439</v>
      </c>
      <c r="H154" s="1" t="s">
        <v>439</v>
      </c>
      <c r="I154" s="1" t="s">
        <v>439</v>
      </c>
      <c r="J154" s="1" t="s">
        <v>439</v>
      </c>
      <c r="K154" s="1" t="s">
        <v>439</v>
      </c>
      <c r="L154" s="119" t="s">
        <v>439</v>
      </c>
      <c r="M154" s="10" t="s">
        <v>439</v>
      </c>
      <c r="N154" s="252" t="s">
        <v>439</v>
      </c>
    </row>
    <row r="155" spans="4:14" x14ac:dyDescent="0.2">
      <c r="D155" s="259" t="s">
        <v>439</v>
      </c>
      <c r="E155" s="1" t="s">
        <v>439</v>
      </c>
      <c r="F155" s="1" t="s">
        <v>439</v>
      </c>
      <c r="G155" s="9" t="s">
        <v>439</v>
      </c>
      <c r="H155" s="1" t="s">
        <v>439</v>
      </c>
      <c r="I155" s="1" t="s">
        <v>439</v>
      </c>
      <c r="J155" s="1" t="s">
        <v>439</v>
      </c>
      <c r="K155" s="1" t="s">
        <v>439</v>
      </c>
      <c r="L155" s="119" t="s">
        <v>439</v>
      </c>
      <c r="M155" s="10" t="s">
        <v>439</v>
      </c>
      <c r="N155" s="252" t="s">
        <v>439</v>
      </c>
    </row>
    <row r="156" spans="4:14" x14ac:dyDescent="0.2">
      <c r="D156" s="259" t="s">
        <v>439</v>
      </c>
      <c r="E156" s="1" t="s">
        <v>439</v>
      </c>
      <c r="F156" s="1" t="s">
        <v>439</v>
      </c>
      <c r="G156" s="9" t="s">
        <v>439</v>
      </c>
      <c r="H156" s="1" t="s">
        <v>439</v>
      </c>
      <c r="I156" s="1" t="s">
        <v>439</v>
      </c>
      <c r="J156" s="1" t="s">
        <v>439</v>
      </c>
      <c r="K156" s="1" t="s">
        <v>439</v>
      </c>
      <c r="L156" s="119" t="s">
        <v>439</v>
      </c>
      <c r="M156" s="10" t="s">
        <v>439</v>
      </c>
      <c r="N156" s="252" t="s">
        <v>439</v>
      </c>
    </row>
    <row r="157" spans="4:14" x14ac:dyDescent="0.2">
      <c r="D157" s="259" t="s">
        <v>439</v>
      </c>
      <c r="E157" s="1" t="s">
        <v>439</v>
      </c>
      <c r="F157" s="1" t="s">
        <v>439</v>
      </c>
      <c r="G157" s="9" t="s">
        <v>439</v>
      </c>
      <c r="H157" s="1" t="s">
        <v>439</v>
      </c>
      <c r="I157" s="1" t="s">
        <v>439</v>
      </c>
      <c r="J157" s="1" t="s">
        <v>439</v>
      </c>
      <c r="K157" s="1" t="s">
        <v>439</v>
      </c>
      <c r="L157" s="119" t="s">
        <v>439</v>
      </c>
      <c r="M157" s="10" t="s">
        <v>439</v>
      </c>
      <c r="N157" s="252" t="s">
        <v>439</v>
      </c>
    </row>
    <row r="158" spans="4:14" x14ac:dyDescent="0.2">
      <c r="D158" s="259" t="s">
        <v>439</v>
      </c>
      <c r="E158" s="1" t="s">
        <v>439</v>
      </c>
      <c r="F158" s="1" t="s">
        <v>439</v>
      </c>
      <c r="G158" s="9" t="s">
        <v>439</v>
      </c>
      <c r="H158" s="1" t="s">
        <v>439</v>
      </c>
      <c r="I158" s="1" t="s">
        <v>439</v>
      </c>
      <c r="J158" s="1" t="s">
        <v>439</v>
      </c>
      <c r="K158" s="1" t="s">
        <v>439</v>
      </c>
      <c r="L158" s="119" t="s">
        <v>439</v>
      </c>
      <c r="M158" s="10" t="s">
        <v>439</v>
      </c>
      <c r="N158" s="252" t="s">
        <v>439</v>
      </c>
    </row>
    <row r="159" spans="4:14" x14ac:dyDescent="0.2">
      <c r="D159" s="259" t="s">
        <v>439</v>
      </c>
      <c r="E159" s="1" t="s">
        <v>439</v>
      </c>
      <c r="F159" s="1" t="s">
        <v>439</v>
      </c>
      <c r="G159" s="9" t="s">
        <v>439</v>
      </c>
      <c r="H159" s="1" t="s">
        <v>439</v>
      </c>
      <c r="I159" s="1" t="s">
        <v>439</v>
      </c>
      <c r="J159" s="1" t="s">
        <v>439</v>
      </c>
      <c r="K159" s="1" t="s">
        <v>439</v>
      </c>
      <c r="L159" s="119" t="s">
        <v>439</v>
      </c>
      <c r="M159" s="10" t="s">
        <v>439</v>
      </c>
      <c r="N159" s="252" t="s">
        <v>439</v>
      </c>
    </row>
    <row r="160" spans="4:14" x14ac:dyDescent="0.2">
      <c r="D160" s="259" t="s">
        <v>439</v>
      </c>
      <c r="E160" s="1" t="s">
        <v>439</v>
      </c>
      <c r="F160" s="1" t="s">
        <v>439</v>
      </c>
      <c r="G160" s="9" t="s">
        <v>439</v>
      </c>
      <c r="H160" s="1" t="s">
        <v>439</v>
      </c>
      <c r="I160" s="1" t="s">
        <v>439</v>
      </c>
      <c r="J160" s="1" t="s">
        <v>439</v>
      </c>
      <c r="K160" s="1" t="s">
        <v>439</v>
      </c>
      <c r="L160" s="119" t="s">
        <v>439</v>
      </c>
      <c r="M160" s="10" t="s">
        <v>439</v>
      </c>
      <c r="N160" s="252" t="s">
        <v>439</v>
      </c>
    </row>
    <row r="161" spans="4:14" x14ac:dyDescent="0.2">
      <c r="D161" s="259" t="s">
        <v>439</v>
      </c>
      <c r="E161" s="1" t="s">
        <v>439</v>
      </c>
      <c r="F161" s="1" t="s">
        <v>439</v>
      </c>
      <c r="G161" s="9" t="s">
        <v>439</v>
      </c>
      <c r="H161" s="1" t="s">
        <v>439</v>
      </c>
      <c r="I161" s="1" t="s">
        <v>439</v>
      </c>
      <c r="J161" s="1" t="s">
        <v>439</v>
      </c>
      <c r="K161" s="1" t="s">
        <v>439</v>
      </c>
      <c r="L161" s="119" t="s">
        <v>439</v>
      </c>
      <c r="M161" s="10" t="s">
        <v>439</v>
      </c>
      <c r="N161" s="252" t="s">
        <v>439</v>
      </c>
    </row>
    <row r="162" spans="4:14" x14ac:dyDescent="0.2">
      <c r="D162" s="259" t="s">
        <v>439</v>
      </c>
      <c r="E162" s="1" t="s">
        <v>439</v>
      </c>
      <c r="F162" s="1" t="s">
        <v>439</v>
      </c>
      <c r="G162" s="9" t="s">
        <v>439</v>
      </c>
      <c r="H162" s="1" t="s">
        <v>439</v>
      </c>
      <c r="I162" s="1" t="s">
        <v>439</v>
      </c>
      <c r="J162" s="1" t="s">
        <v>439</v>
      </c>
      <c r="K162" s="1" t="s">
        <v>439</v>
      </c>
      <c r="L162" s="119" t="s">
        <v>439</v>
      </c>
      <c r="M162" s="10" t="s">
        <v>439</v>
      </c>
      <c r="N162" s="252" t="s">
        <v>439</v>
      </c>
    </row>
    <row r="163" spans="4:14" x14ac:dyDescent="0.2">
      <c r="D163" s="259" t="s">
        <v>439</v>
      </c>
      <c r="E163" s="1" t="s">
        <v>439</v>
      </c>
      <c r="F163" s="1" t="s">
        <v>439</v>
      </c>
      <c r="G163" s="9" t="s">
        <v>439</v>
      </c>
      <c r="H163" s="1" t="s">
        <v>439</v>
      </c>
      <c r="I163" s="1" t="s">
        <v>439</v>
      </c>
      <c r="J163" s="1" t="s">
        <v>439</v>
      </c>
      <c r="K163" s="1" t="s">
        <v>439</v>
      </c>
      <c r="L163" s="119" t="s">
        <v>439</v>
      </c>
      <c r="M163" s="10" t="s">
        <v>439</v>
      </c>
      <c r="N163" s="252" t="s">
        <v>439</v>
      </c>
    </row>
    <row r="164" spans="4:14" x14ac:dyDescent="0.2">
      <c r="D164" s="259" t="s">
        <v>439</v>
      </c>
      <c r="E164" s="1" t="s">
        <v>439</v>
      </c>
      <c r="F164" s="1" t="s">
        <v>439</v>
      </c>
      <c r="G164" s="9" t="s">
        <v>439</v>
      </c>
      <c r="H164" s="1" t="s">
        <v>439</v>
      </c>
      <c r="I164" s="1" t="s">
        <v>439</v>
      </c>
      <c r="J164" s="1" t="s">
        <v>439</v>
      </c>
      <c r="K164" s="1" t="s">
        <v>439</v>
      </c>
      <c r="L164" s="119" t="s">
        <v>439</v>
      </c>
      <c r="M164" s="10" t="s">
        <v>439</v>
      </c>
      <c r="N164" s="252" t="s">
        <v>439</v>
      </c>
    </row>
    <row r="165" spans="4:14" x14ac:dyDescent="0.2">
      <c r="D165" s="259" t="s">
        <v>439</v>
      </c>
      <c r="E165" s="1" t="s">
        <v>439</v>
      </c>
      <c r="F165" s="1" t="s">
        <v>439</v>
      </c>
      <c r="G165" s="9" t="s">
        <v>439</v>
      </c>
      <c r="H165" s="1" t="s">
        <v>439</v>
      </c>
      <c r="I165" s="1" t="s">
        <v>439</v>
      </c>
      <c r="J165" s="1" t="s">
        <v>439</v>
      </c>
      <c r="K165" s="1" t="s">
        <v>439</v>
      </c>
      <c r="L165" s="119" t="s">
        <v>439</v>
      </c>
      <c r="M165" s="10" t="s">
        <v>439</v>
      </c>
      <c r="N165" s="252" t="s">
        <v>439</v>
      </c>
    </row>
    <row r="166" spans="4:14" x14ac:dyDescent="0.2">
      <c r="D166" s="259" t="s">
        <v>439</v>
      </c>
      <c r="E166" s="1" t="s">
        <v>439</v>
      </c>
      <c r="F166" s="1" t="s">
        <v>439</v>
      </c>
      <c r="G166" s="9" t="s">
        <v>439</v>
      </c>
      <c r="H166" s="1" t="s">
        <v>439</v>
      </c>
      <c r="I166" s="1" t="s">
        <v>439</v>
      </c>
      <c r="J166" s="1" t="s">
        <v>439</v>
      </c>
      <c r="K166" s="1" t="s">
        <v>439</v>
      </c>
      <c r="L166" s="119" t="s">
        <v>439</v>
      </c>
      <c r="M166" s="10" t="s">
        <v>439</v>
      </c>
      <c r="N166" s="252" t="s">
        <v>439</v>
      </c>
    </row>
    <row r="167" spans="4:14" x14ac:dyDescent="0.2">
      <c r="D167" s="259" t="s">
        <v>439</v>
      </c>
      <c r="E167" s="1" t="s">
        <v>439</v>
      </c>
      <c r="F167" s="1" t="s">
        <v>439</v>
      </c>
      <c r="G167" s="9" t="s">
        <v>439</v>
      </c>
      <c r="H167" s="1" t="s">
        <v>439</v>
      </c>
      <c r="I167" s="1" t="s">
        <v>439</v>
      </c>
      <c r="J167" s="1" t="s">
        <v>439</v>
      </c>
      <c r="K167" s="1" t="s">
        <v>439</v>
      </c>
      <c r="L167" s="119" t="s">
        <v>439</v>
      </c>
      <c r="M167" s="10" t="s">
        <v>439</v>
      </c>
      <c r="N167" s="252" t="s">
        <v>439</v>
      </c>
    </row>
    <row r="168" spans="4:14" x14ac:dyDescent="0.2">
      <c r="D168" s="259" t="s">
        <v>439</v>
      </c>
      <c r="E168" s="1" t="s">
        <v>439</v>
      </c>
      <c r="F168" s="1" t="s">
        <v>439</v>
      </c>
      <c r="G168" s="9" t="s">
        <v>439</v>
      </c>
      <c r="H168" s="1" t="s">
        <v>439</v>
      </c>
      <c r="I168" s="1" t="s">
        <v>439</v>
      </c>
      <c r="J168" s="1" t="s">
        <v>439</v>
      </c>
      <c r="K168" s="1" t="s">
        <v>439</v>
      </c>
      <c r="L168" s="119" t="s">
        <v>439</v>
      </c>
      <c r="M168" s="10" t="s">
        <v>439</v>
      </c>
      <c r="N168" s="252" t="s">
        <v>439</v>
      </c>
    </row>
    <row r="169" spans="4:14" x14ac:dyDescent="0.2">
      <c r="D169" s="259" t="s">
        <v>439</v>
      </c>
      <c r="E169" s="1" t="s">
        <v>439</v>
      </c>
      <c r="F169" s="1" t="s">
        <v>439</v>
      </c>
      <c r="G169" s="9" t="s">
        <v>439</v>
      </c>
      <c r="H169" s="1" t="s">
        <v>439</v>
      </c>
      <c r="I169" s="1" t="s">
        <v>439</v>
      </c>
      <c r="J169" s="1" t="s">
        <v>439</v>
      </c>
      <c r="K169" s="1" t="s">
        <v>439</v>
      </c>
      <c r="L169" s="119" t="s">
        <v>439</v>
      </c>
      <c r="M169" s="10" t="s">
        <v>439</v>
      </c>
      <c r="N169" s="252" t="s">
        <v>439</v>
      </c>
    </row>
    <row r="170" spans="4:14" x14ac:dyDescent="0.2">
      <c r="D170" s="259" t="s">
        <v>439</v>
      </c>
      <c r="E170" s="1" t="s">
        <v>439</v>
      </c>
      <c r="F170" s="1" t="s">
        <v>439</v>
      </c>
      <c r="G170" s="9" t="s">
        <v>439</v>
      </c>
      <c r="H170" s="1" t="s">
        <v>439</v>
      </c>
      <c r="I170" s="1" t="s">
        <v>439</v>
      </c>
      <c r="J170" s="1" t="s">
        <v>439</v>
      </c>
      <c r="K170" s="1" t="s">
        <v>439</v>
      </c>
      <c r="L170" s="119" t="s">
        <v>439</v>
      </c>
      <c r="M170" s="10" t="s">
        <v>439</v>
      </c>
      <c r="N170" s="252" t="s">
        <v>439</v>
      </c>
    </row>
    <row r="171" spans="4:14" x14ac:dyDescent="0.2">
      <c r="D171" s="259" t="s">
        <v>439</v>
      </c>
      <c r="E171" s="1" t="s">
        <v>439</v>
      </c>
      <c r="F171" s="1" t="s">
        <v>439</v>
      </c>
      <c r="G171" s="9" t="s">
        <v>439</v>
      </c>
      <c r="H171" s="1" t="s">
        <v>439</v>
      </c>
      <c r="I171" s="1" t="s">
        <v>439</v>
      </c>
      <c r="J171" s="1" t="s">
        <v>439</v>
      </c>
      <c r="K171" s="1" t="s">
        <v>439</v>
      </c>
      <c r="L171" s="119" t="s">
        <v>439</v>
      </c>
      <c r="M171" s="10" t="s">
        <v>439</v>
      </c>
      <c r="N171" s="252" t="s">
        <v>439</v>
      </c>
    </row>
    <row r="172" spans="4:14" x14ac:dyDescent="0.2">
      <c r="D172" s="259" t="s">
        <v>439</v>
      </c>
      <c r="E172" s="1" t="s">
        <v>439</v>
      </c>
      <c r="F172" s="1" t="s">
        <v>439</v>
      </c>
      <c r="G172" s="9" t="s">
        <v>439</v>
      </c>
      <c r="H172" s="1" t="s">
        <v>439</v>
      </c>
      <c r="I172" s="1" t="s">
        <v>439</v>
      </c>
      <c r="J172" s="1" t="s">
        <v>439</v>
      </c>
      <c r="K172" s="1" t="s">
        <v>439</v>
      </c>
      <c r="L172" s="119" t="s">
        <v>439</v>
      </c>
      <c r="M172" s="10" t="s">
        <v>439</v>
      </c>
      <c r="N172" s="252" t="s">
        <v>439</v>
      </c>
    </row>
    <row r="173" spans="4:14" x14ac:dyDescent="0.2">
      <c r="D173" s="259" t="s">
        <v>439</v>
      </c>
      <c r="E173" s="1" t="s">
        <v>439</v>
      </c>
      <c r="F173" s="1" t="s">
        <v>439</v>
      </c>
      <c r="G173" s="9" t="s">
        <v>439</v>
      </c>
      <c r="H173" s="1" t="s">
        <v>439</v>
      </c>
      <c r="I173" s="1" t="s">
        <v>439</v>
      </c>
      <c r="J173" s="1" t="s">
        <v>439</v>
      </c>
      <c r="K173" s="1" t="s">
        <v>439</v>
      </c>
      <c r="L173" s="119" t="s">
        <v>439</v>
      </c>
      <c r="M173" s="10" t="s">
        <v>439</v>
      </c>
      <c r="N173" s="252" t="s">
        <v>439</v>
      </c>
    </row>
    <row r="174" spans="4:14" x14ac:dyDescent="0.2">
      <c r="D174" s="259" t="s">
        <v>439</v>
      </c>
      <c r="E174" s="1" t="s">
        <v>439</v>
      </c>
      <c r="F174" s="1" t="s">
        <v>439</v>
      </c>
      <c r="G174" s="9" t="s">
        <v>439</v>
      </c>
      <c r="H174" s="1" t="s">
        <v>439</v>
      </c>
      <c r="I174" s="1" t="s">
        <v>439</v>
      </c>
      <c r="J174" s="1" t="s">
        <v>439</v>
      </c>
      <c r="K174" s="1" t="s">
        <v>439</v>
      </c>
      <c r="L174" s="119" t="s">
        <v>439</v>
      </c>
      <c r="M174" s="10" t="s">
        <v>439</v>
      </c>
      <c r="N174" s="252" t="s">
        <v>439</v>
      </c>
    </row>
    <row r="175" spans="4:14" x14ac:dyDescent="0.2">
      <c r="D175" s="259" t="s">
        <v>439</v>
      </c>
      <c r="E175" s="1" t="s">
        <v>439</v>
      </c>
      <c r="F175" s="1" t="s">
        <v>439</v>
      </c>
      <c r="G175" s="9" t="s">
        <v>439</v>
      </c>
      <c r="H175" s="1" t="s">
        <v>439</v>
      </c>
      <c r="I175" s="1" t="s">
        <v>439</v>
      </c>
      <c r="J175" s="1" t="s">
        <v>439</v>
      </c>
      <c r="K175" s="1" t="s">
        <v>439</v>
      </c>
      <c r="L175" s="119" t="s">
        <v>439</v>
      </c>
      <c r="M175" s="10" t="s">
        <v>439</v>
      </c>
      <c r="N175" s="252" t="s">
        <v>439</v>
      </c>
    </row>
    <row r="176" spans="4:14" x14ac:dyDescent="0.2">
      <c r="D176" s="259" t="s">
        <v>439</v>
      </c>
      <c r="E176" s="1" t="s">
        <v>439</v>
      </c>
      <c r="F176" s="1" t="s">
        <v>439</v>
      </c>
      <c r="G176" s="9" t="s">
        <v>439</v>
      </c>
      <c r="H176" s="1" t="s">
        <v>439</v>
      </c>
      <c r="I176" s="1" t="s">
        <v>439</v>
      </c>
      <c r="J176" s="1" t="s">
        <v>439</v>
      </c>
      <c r="K176" s="1" t="s">
        <v>439</v>
      </c>
      <c r="L176" s="119" t="s">
        <v>439</v>
      </c>
      <c r="M176" s="10" t="s">
        <v>439</v>
      </c>
      <c r="N176" s="252" t="s">
        <v>439</v>
      </c>
    </row>
    <row r="177" spans="4:14" x14ac:dyDescent="0.2">
      <c r="D177" s="259" t="s">
        <v>439</v>
      </c>
      <c r="E177" s="1" t="s">
        <v>439</v>
      </c>
      <c r="F177" s="1" t="s">
        <v>439</v>
      </c>
      <c r="G177" s="9" t="s">
        <v>439</v>
      </c>
      <c r="H177" s="1" t="s">
        <v>439</v>
      </c>
      <c r="I177" s="1" t="s">
        <v>439</v>
      </c>
      <c r="J177" s="1" t="s">
        <v>439</v>
      </c>
      <c r="K177" s="1" t="s">
        <v>439</v>
      </c>
      <c r="L177" s="119" t="s">
        <v>439</v>
      </c>
      <c r="M177" s="10" t="s">
        <v>439</v>
      </c>
      <c r="N177" s="252" t="s">
        <v>439</v>
      </c>
    </row>
    <row r="178" spans="4:14" x14ac:dyDescent="0.2">
      <c r="D178" s="259" t="s">
        <v>439</v>
      </c>
      <c r="E178" s="1" t="s">
        <v>439</v>
      </c>
      <c r="F178" s="1" t="s">
        <v>439</v>
      </c>
      <c r="G178" s="9" t="s">
        <v>439</v>
      </c>
      <c r="H178" s="1" t="s">
        <v>439</v>
      </c>
      <c r="I178" s="1" t="s">
        <v>439</v>
      </c>
      <c r="J178" s="1" t="s">
        <v>439</v>
      </c>
      <c r="K178" s="1" t="s">
        <v>439</v>
      </c>
      <c r="L178" s="119" t="s">
        <v>439</v>
      </c>
      <c r="M178" s="10" t="s">
        <v>439</v>
      </c>
      <c r="N178" s="252" t="s">
        <v>439</v>
      </c>
    </row>
    <row r="179" spans="4:14" x14ac:dyDescent="0.2">
      <c r="D179" s="259" t="s">
        <v>439</v>
      </c>
      <c r="E179" s="1" t="s">
        <v>439</v>
      </c>
      <c r="F179" s="1" t="s">
        <v>439</v>
      </c>
      <c r="G179" s="9" t="s">
        <v>439</v>
      </c>
      <c r="H179" s="1" t="s">
        <v>439</v>
      </c>
      <c r="I179" s="1" t="s">
        <v>439</v>
      </c>
      <c r="J179" s="1" t="s">
        <v>439</v>
      </c>
      <c r="K179" s="1" t="s">
        <v>439</v>
      </c>
      <c r="L179" s="119" t="s">
        <v>439</v>
      </c>
      <c r="M179" s="10" t="s">
        <v>439</v>
      </c>
      <c r="N179" s="252" t="s">
        <v>439</v>
      </c>
    </row>
    <row r="180" spans="4:14" x14ac:dyDescent="0.2">
      <c r="D180" s="259" t="s">
        <v>439</v>
      </c>
      <c r="E180" s="1" t="s">
        <v>439</v>
      </c>
      <c r="F180" s="1" t="s">
        <v>439</v>
      </c>
      <c r="G180" s="9" t="s">
        <v>439</v>
      </c>
      <c r="H180" s="1" t="s">
        <v>439</v>
      </c>
      <c r="I180" s="1" t="s">
        <v>439</v>
      </c>
      <c r="J180" s="1" t="s">
        <v>439</v>
      </c>
      <c r="K180" s="1" t="s">
        <v>439</v>
      </c>
      <c r="L180" s="119" t="s">
        <v>439</v>
      </c>
      <c r="M180" s="10" t="s">
        <v>439</v>
      </c>
      <c r="N180" s="252" t="s">
        <v>439</v>
      </c>
    </row>
    <row r="181" spans="4:14" x14ac:dyDescent="0.2">
      <c r="D181" s="259" t="s">
        <v>439</v>
      </c>
      <c r="E181" s="1" t="s">
        <v>439</v>
      </c>
      <c r="F181" s="1" t="s">
        <v>439</v>
      </c>
      <c r="G181" s="9" t="s">
        <v>439</v>
      </c>
      <c r="H181" s="1" t="s">
        <v>439</v>
      </c>
      <c r="I181" s="1" t="s">
        <v>439</v>
      </c>
      <c r="J181" s="1" t="s">
        <v>439</v>
      </c>
      <c r="K181" s="1" t="s">
        <v>439</v>
      </c>
      <c r="L181" s="119" t="s">
        <v>439</v>
      </c>
      <c r="M181" s="10" t="s">
        <v>439</v>
      </c>
      <c r="N181" s="252" t="s">
        <v>439</v>
      </c>
    </row>
    <row r="182" spans="4:14" x14ac:dyDescent="0.2">
      <c r="D182" s="259" t="s">
        <v>439</v>
      </c>
      <c r="E182" s="1" t="s">
        <v>439</v>
      </c>
      <c r="F182" s="1" t="s">
        <v>439</v>
      </c>
      <c r="G182" s="9" t="s">
        <v>439</v>
      </c>
      <c r="H182" s="1" t="s">
        <v>439</v>
      </c>
      <c r="I182" s="1" t="s">
        <v>439</v>
      </c>
      <c r="J182" s="1" t="s">
        <v>439</v>
      </c>
      <c r="K182" s="1" t="s">
        <v>439</v>
      </c>
      <c r="L182" s="119" t="s">
        <v>439</v>
      </c>
      <c r="M182" s="10" t="s">
        <v>439</v>
      </c>
      <c r="N182" s="252" t="s">
        <v>439</v>
      </c>
    </row>
    <row r="183" spans="4:14" x14ac:dyDescent="0.2">
      <c r="D183" s="259" t="s">
        <v>439</v>
      </c>
      <c r="E183" s="1" t="s">
        <v>439</v>
      </c>
      <c r="F183" s="1" t="s">
        <v>439</v>
      </c>
      <c r="G183" s="9" t="s">
        <v>439</v>
      </c>
      <c r="H183" s="1" t="s">
        <v>439</v>
      </c>
      <c r="I183" s="1" t="s">
        <v>439</v>
      </c>
      <c r="J183" s="1" t="s">
        <v>439</v>
      </c>
      <c r="K183" s="1" t="s">
        <v>439</v>
      </c>
      <c r="L183" s="119" t="s">
        <v>439</v>
      </c>
      <c r="M183" s="10" t="s">
        <v>439</v>
      </c>
      <c r="N183" s="252" t="s">
        <v>439</v>
      </c>
    </row>
    <row r="184" spans="4:14" x14ac:dyDescent="0.2">
      <c r="D184" s="259" t="s">
        <v>439</v>
      </c>
      <c r="E184" s="1" t="s">
        <v>439</v>
      </c>
      <c r="F184" s="1" t="s">
        <v>439</v>
      </c>
      <c r="G184" s="9" t="s">
        <v>439</v>
      </c>
      <c r="H184" s="1" t="s">
        <v>439</v>
      </c>
      <c r="I184" s="1" t="s">
        <v>439</v>
      </c>
      <c r="J184" s="1" t="s">
        <v>439</v>
      </c>
      <c r="K184" s="1" t="s">
        <v>439</v>
      </c>
      <c r="L184" s="119" t="s">
        <v>439</v>
      </c>
      <c r="M184" s="10" t="s">
        <v>439</v>
      </c>
      <c r="N184" s="252" t="s">
        <v>439</v>
      </c>
    </row>
    <row r="185" spans="4:14" x14ac:dyDescent="0.2">
      <c r="D185" s="259" t="s">
        <v>439</v>
      </c>
      <c r="E185" s="1" t="s">
        <v>439</v>
      </c>
      <c r="F185" s="1" t="s">
        <v>439</v>
      </c>
      <c r="G185" s="9" t="s">
        <v>439</v>
      </c>
      <c r="H185" s="1" t="s">
        <v>439</v>
      </c>
      <c r="I185" s="1" t="s">
        <v>439</v>
      </c>
      <c r="J185" s="1" t="s">
        <v>439</v>
      </c>
      <c r="K185" s="1" t="s">
        <v>439</v>
      </c>
      <c r="L185" s="119" t="s">
        <v>439</v>
      </c>
      <c r="M185" s="10" t="s">
        <v>439</v>
      </c>
      <c r="N185" s="252" t="s">
        <v>439</v>
      </c>
    </row>
    <row r="186" spans="4:14" x14ac:dyDescent="0.2">
      <c r="D186" s="259" t="s">
        <v>439</v>
      </c>
      <c r="E186" s="1" t="s">
        <v>439</v>
      </c>
      <c r="F186" s="1" t="s">
        <v>439</v>
      </c>
      <c r="G186" s="9" t="s">
        <v>439</v>
      </c>
      <c r="H186" s="1" t="s">
        <v>439</v>
      </c>
      <c r="I186" s="1" t="s">
        <v>439</v>
      </c>
      <c r="J186" s="1" t="s">
        <v>439</v>
      </c>
      <c r="K186" s="1" t="s">
        <v>439</v>
      </c>
      <c r="L186" s="119" t="s">
        <v>439</v>
      </c>
      <c r="M186" s="10" t="s">
        <v>439</v>
      </c>
      <c r="N186" s="252" t="s">
        <v>439</v>
      </c>
    </row>
    <row r="187" spans="4:14" x14ac:dyDescent="0.2">
      <c r="D187" s="259" t="s">
        <v>439</v>
      </c>
      <c r="E187" s="1" t="s">
        <v>439</v>
      </c>
      <c r="F187" s="1" t="s">
        <v>439</v>
      </c>
      <c r="G187" s="9" t="s">
        <v>439</v>
      </c>
      <c r="H187" s="1" t="s">
        <v>439</v>
      </c>
      <c r="I187" s="1" t="s">
        <v>439</v>
      </c>
      <c r="J187" s="1" t="s">
        <v>439</v>
      </c>
      <c r="K187" s="1" t="s">
        <v>439</v>
      </c>
      <c r="L187" s="119" t="s">
        <v>439</v>
      </c>
      <c r="M187" s="10" t="s">
        <v>439</v>
      </c>
      <c r="N187" s="252" t="s">
        <v>439</v>
      </c>
    </row>
    <row r="188" spans="4:14" x14ac:dyDescent="0.2">
      <c r="D188" s="259" t="s">
        <v>439</v>
      </c>
      <c r="E188" s="1" t="s">
        <v>439</v>
      </c>
      <c r="F188" s="1" t="s">
        <v>439</v>
      </c>
      <c r="G188" s="9" t="s">
        <v>439</v>
      </c>
      <c r="H188" s="1" t="s">
        <v>439</v>
      </c>
      <c r="I188" s="1" t="s">
        <v>439</v>
      </c>
      <c r="J188" s="1" t="s">
        <v>439</v>
      </c>
      <c r="K188" s="1" t="s">
        <v>439</v>
      </c>
      <c r="L188" s="119" t="s">
        <v>439</v>
      </c>
      <c r="M188" s="10" t="s">
        <v>439</v>
      </c>
      <c r="N188" s="252" t="s">
        <v>439</v>
      </c>
    </row>
    <row r="189" spans="4:14" x14ac:dyDescent="0.2">
      <c r="D189" s="259" t="s">
        <v>439</v>
      </c>
      <c r="E189" s="1" t="s">
        <v>439</v>
      </c>
      <c r="F189" s="1" t="s">
        <v>439</v>
      </c>
      <c r="G189" s="9" t="s">
        <v>439</v>
      </c>
      <c r="H189" s="1" t="s">
        <v>439</v>
      </c>
      <c r="I189" s="1" t="s">
        <v>439</v>
      </c>
      <c r="J189" s="1" t="s">
        <v>439</v>
      </c>
      <c r="K189" s="1" t="s">
        <v>439</v>
      </c>
      <c r="L189" s="119" t="s">
        <v>439</v>
      </c>
      <c r="M189" s="10" t="s">
        <v>439</v>
      </c>
      <c r="N189" s="252" t="s">
        <v>439</v>
      </c>
    </row>
    <row r="190" spans="4:14" x14ac:dyDescent="0.2">
      <c r="D190" s="259" t="s">
        <v>439</v>
      </c>
      <c r="E190" s="1" t="s">
        <v>439</v>
      </c>
      <c r="F190" s="1" t="s">
        <v>439</v>
      </c>
      <c r="G190" s="9" t="s">
        <v>439</v>
      </c>
      <c r="H190" s="1" t="s">
        <v>439</v>
      </c>
      <c r="I190" s="1" t="s">
        <v>439</v>
      </c>
      <c r="J190" s="1" t="s">
        <v>439</v>
      </c>
      <c r="K190" s="1" t="s">
        <v>439</v>
      </c>
      <c r="L190" s="119" t="s">
        <v>439</v>
      </c>
      <c r="M190" s="10" t="s">
        <v>439</v>
      </c>
      <c r="N190" s="252" t="s">
        <v>439</v>
      </c>
    </row>
    <row r="191" spans="4:14" x14ac:dyDescent="0.2">
      <c r="D191" s="259" t="s">
        <v>439</v>
      </c>
      <c r="E191" s="1" t="s">
        <v>439</v>
      </c>
      <c r="F191" s="1" t="s">
        <v>439</v>
      </c>
      <c r="G191" s="9" t="s">
        <v>439</v>
      </c>
      <c r="H191" s="1" t="s">
        <v>439</v>
      </c>
      <c r="I191" s="1" t="s">
        <v>439</v>
      </c>
      <c r="J191" s="1" t="s">
        <v>439</v>
      </c>
      <c r="K191" s="1" t="s">
        <v>439</v>
      </c>
      <c r="L191" s="119" t="s">
        <v>439</v>
      </c>
      <c r="M191" s="10" t="s">
        <v>439</v>
      </c>
      <c r="N191" s="252" t="s">
        <v>439</v>
      </c>
    </row>
    <row r="192" spans="4:14" x14ac:dyDescent="0.2">
      <c r="D192" s="259" t="s">
        <v>439</v>
      </c>
      <c r="E192" s="1" t="s">
        <v>439</v>
      </c>
      <c r="F192" s="1" t="s">
        <v>439</v>
      </c>
      <c r="G192" s="9" t="s">
        <v>439</v>
      </c>
      <c r="H192" s="1" t="s">
        <v>439</v>
      </c>
      <c r="I192" s="1" t="s">
        <v>439</v>
      </c>
      <c r="J192" s="1" t="s">
        <v>439</v>
      </c>
      <c r="K192" s="1" t="s">
        <v>439</v>
      </c>
      <c r="L192" s="119" t="s">
        <v>439</v>
      </c>
      <c r="M192" s="10" t="s">
        <v>439</v>
      </c>
      <c r="N192" s="252" t="s">
        <v>439</v>
      </c>
    </row>
    <row r="193" spans="4:14" x14ac:dyDescent="0.2">
      <c r="D193" s="259" t="s">
        <v>439</v>
      </c>
      <c r="E193" s="1" t="s">
        <v>439</v>
      </c>
      <c r="F193" s="1" t="s">
        <v>439</v>
      </c>
      <c r="G193" s="9" t="s">
        <v>439</v>
      </c>
      <c r="H193" s="1" t="s">
        <v>439</v>
      </c>
      <c r="I193" s="1" t="s">
        <v>439</v>
      </c>
      <c r="J193" s="1" t="s">
        <v>439</v>
      </c>
      <c r="K193" s="1" t="s">
        <v>439</v>
      </c>
      <c r="L193" s="119" t="s">
        <v>439</v>
      </c>
      <c r="M193" s="10" t="s">
        <v>439</v>
      </c>
      <c r="N193" s="252" t="s">
        <v>439</v>
      </c>
    </row>
    <row r="194" spans="4:14" x14ac:dyDescent="0.2">
      <c r="D194" s="259" t="s">
        <v>439</v>
      </c>
      <c r="E194" s="1" t="s">
        <v>439</v>
      </c>
      <c r="F194" s="1" t="s">
        <v>439</v>
      </c>
      <c r="G194" s="9" t="s">
        <v>439</v>
      </c>
      <c r="H194" s="1" t="s">
        <v>439</v>
      </c>
      <c r="I194" s="1" t="s">
        <v>439</v>
      </c>
      <c r="J194" s="1" t="s">
        <v>439</v>
      </c>
      <c r="K194" s="1" t="s">
        <v>439</v>
      </c>
      <c r="L194" s="119" t="s">
        <v>439</v>
      </c>
      <c r="M194" s="10" t="s">
        <v>439</v>
      </c>
      <c r="N194" s="252" t="s">
        <v>439</v>
      </c>
    </row>
    <row r="195" spans="4:14" x14ac:dyDescent="0.2">
      <c r="D195" s="259" t="s">
        <v>439</v>
      </c>
      <c r="E195" s="1" t="s">
        <v>439</v>
      </c>
      <c r="F195" s="1" t="s">
        <v>439</v>
      </c>
      <c r="G195" s="9" t="s">
        <v>439</v>
      </c>
      <c r="H195" s="1" t="s">
        <v>439</v>
      </c>
      <c r="I195" s="1" t="s">
        <v>439</v>
      </c>
      <c r="J195" s="1" t="s">
        <v>439</v>
      </c>
      <c r="K195" s="1" t="s">
        <v>439</v>
      </c>
      <c r="L195" s="119" t="s">
        <v>439</v>
      </c>
      <c r="M195" s="10" t="s">
        <v>439</v>
      </c>
      <c r="N195" s="252" t="s">
        <v>439</v>
      </c>
    </row>
    <row r="196" spans="4:14" x14ac:dyDescent="0.2">
      <c r="D196" s="259" t="s">
        <v>439</v>
      </c>
      <c r="E196" s="1" t="s">
        <v>439</v>
      </c>
      <c r="F196" s="1" t="s">
        <v>439</v>
      </c>
      <c r="G196" s="9" t="s">
        <v>439</v>
      </c>
      <c r="H196" s="1" t="s">
        <v>439</v>
      </c>
      <c r="I196" s="1" t="s">
        <v>439</v>
      </c>
      <c r="J196" s="1" t="s">
        <v>439</v>
      </c>
      <c r="K196" s="1" t="s">
        <v>439</v>
      </c>
      <c r="L196" s="119" t="s">
        <v>439</v>
      </c>
      <c r="M196" s="10" t="s">
        <v>439</v>
      </c>
      <c r="N196" s="252" t="s">
        <v>439</v>
      </c>
    </row>
    <row r="197" spans="4:14" x14ac:dyDescent="0.2">
      <c r="D197" s="259" t="s">
        <v>439</v>
      </c>
      <c r="E197" s="1" t="s">
        <v>439</v>
      </c>
      <c r="F197" s="1" t="s">
        <v>439</v>
      </c>
      <c r="G197" s="9" t="s">
        <v>439</v>
      </c>
      <c r="H197" s="1" t="s">
        <v>439</v>
      </c>
      <c r="I197" s="1" t="s">
        <v>439</v>
      </c>
      <c r="J197" s="1" t="s">
        <v>439</v>
      </c>
      <c r="K197" s="1" t="s">
        <v>439</v>
      </c>
      <c r="L197" s="119" t="s">
        <v>439</v>
      </c>
      <c r="M197" s="10" t="s">
        <v>439</v>
      </c>
      <c r="N197" s="252" t="s">
        <v>439</v>
      </c>
    </row>
    <row r="198" spans="4:14" x14ac:dyDescent="0.2">
      <c r="D198" s="259" t="s">
        <v>439</v>
      </c>
      <c r="E198" s="1" t="s">
        <v>439</v>
      </c>
      <c r="F198" s="1" t="s">
        <v>439</v>
      </c>
      <c r="G198" s="9" t="s">
        <v>439</v>
      </c>
      <c r="H198" s="1" t="s">
        <v>439</v>
      </c>
      <c r="I198" s="1" t="s">
        <v>439</v>
      </c>
      <c r="J198" s="1" t="s">
        <v>439</v>
      </c>
      <c r="K198" s="1" t="s">
        <v>439</v>
      </c>
      <c r="L198" s="119" t="s">
        <v>439</v>
      </c>
      <c r="M198" s="10" t="s">
        <v>439</v>
      </c>
      <c r="N198" s="252" t="s">
        <v>439</v>
      </c>
    </row>
    <row r="199" spans="4:14" x14ac:dyDescent="0.2">
      <c r="D199" s="259" t="s">
        <v>439</v>
      </c>
      <c r="E199" s="1" t="s">
        <v>439</v>
      </c>
      <c r="F199" s="1" t="s">
        <v>439</v>
      </c>
      <c r="G199" s="9" t="s">
        <v>439</v>
      </c>
      <c r="H199" s="1" t="s">
        <v>439</v>
      </c>
      <c r="I199" s="1" t="s">
        <v>439</v>
      </c>
      <c r="J199" s="1" t="s">
        <v>439</v>
      </c>
      <c r="K199" s="1" t="s">
        <v>439</v>
      </c>
      <c r="L199" s="119" t="s">
        <v>439</v>
      </c>
      <c r="M199" s="10" t="s">
        <v>439</v>
      </c>
      <c r="N199" s="252" t="s">
        <v>439</v>
      </c>
    </row>
    <row r="200" spans="4:14" x14ac:dyDescent="0.2">
      <c r="D200" s="259" t="s">
        <v>439</v>
      </c>
      <c r="E200" s="1" t="s">
        <v>439</v>
      </c>
      <c r="F200" s="1" t="s">
        <v>439</v>
      </c>
      <c r="G200" s="9" t="s">
        <v>439</v>
      </c>
      <c r="H200" s="1" t="s">
        <v>439</v>
      </c>
      <c r="I200" s="1" t="s">
        <v>439</v>
      </c>
      <c r="J200" s="1" t="s">
        <v>439</v>
      </c>
      <c r="K200" s="1" t="s">
        <v>439</v>
      </c>
      <c r="L200" s="119" t="s">
        <v>439</v>
      </c>
      <c r="M200" s="10" t="s">
        <v>439</v>
      </c>
      <c r="N200" s="252" t="s">
        <v>439</v>
      </c>
    </row>
    <row r="201" spans="4:14" x14ac:dyDescent="0.2">
      <c r="D201" s="259" t="s">
        <v>439</v>
      </c>
      <c r="E201" s="1" t="s">
        <v>439</v>
      </c>
      <c r="F201" s="1" t="s">
        <v>439</v>
      </c>
      <c r="G201" s="9" t="s">
        <v>439</v>
      </c>
      <c r="H201" s="1" t="s">
        <v>439</v>
      </c>
      <c r="I201" s="1" t="s">
        <v>439</v>
      </c>
      <c r="J201" s="1" t="s">
        <v>439</v>
      </c>
      <c r="K201" s="1" t="s">
        <v>439</v>
      </c>
      <c r="L201" s="119" t="s">
        <v>439</v>
      </c>
      <c r="M201" s="10" t="s">
        <v>439</v>
      </c>
      <c r="N201" s="252" t="s">
        <v>439</v>
      </c>
    </row>
    <row r="202" spans="4:14" x14ac:dyDescent="0.2">
      <c r="D202" s="259" t="s">
        <v>439</v>
      </c>
      <c r="E202" s="1" t="s">
        <v>439</v>
      </c>
      <c r="F202" s="1" t="s">
        <v>439</v>
      </c>
      <c r="G202" s="9" t="s">
        <v>439</v>
      </c>
      <c r="H202" s="1" t="s">
        <v>439</v>
      </c>
      <c r="I202" s="1" t="s">
        <v>439</v>
      </c>
      <c r="J202" s="1" t="s">
        <v>439</v>
      </c>
      <c r="K202" s="1" t="s">
        <v>439</v>
      </c>
      <c r="L202" s="119" t="s">
        <v>439</v>
      </c>
      <c r="M202" s="10" t="s">
        <v>439</v>
      </c>
      <c r="N202" s="252" t="s">
        <v>439</v>
      </c>
    </row>
    <row r="203" spans="4:14" x14ac:dyDescent="0.2">
      <c r="D203" s="259" t="s">
        <v>439</v>
      </c>
      <c r="E203" s="1" t="s">
        <v>439</v>
      </c>
      <c r="F203" s="1" t="s">
        <v>439</v>
      </c>
      <c r="G203" s="9" t="s">
        <v>439</v>
      </c>
      <c r="H203" s="1" t="s">
        <v>439</v>
      </c>
      <c r="I203" s="1" t="s">
        <v>439</v>
      </c>
      <c r="J203" s="1" t="s">
        <v>439</v>
      </c>
      <c r="K203" s="1" t="s">
        <v>439</v>
      </c>
      <c r="L203" s="119" t="s">
        <v>439</v>
      </c>
      <c r="M203" s="10" t="s">
        <v>439</v>
      </c>
      <c r="N203" s="252" t="s">
        <v>439</v>
      </c>
    </row>
    <row r="204" spans="4:14" x14ac:dyDescent="0.2">
      <c r="D204" s="259" t="s">
        <v>439</v>
      </c>
      <c r="E204" s="1" t="s">
        <v>439</v>
      </c>
      <c r="F204" s="1" t="s">
        <v>439</v>
      </c>
      <c r="G204" s="9" t="s">
        <v>439</v>
      </c>
      <c r="H204" s="1" t="s">
        <v>439</v>
      </c>
      <c r="I204" s="1" t="s">
        <v>439</v>
      </c>
      <c r="J204" s="1" t="s">
        <v>439</v>
      </c>
      <c r="K204" s="1" t="s">
        <v>439</v>
      </c>
      <c r="L204" s="119" t="s">
        <v>439</v>
      </c>
      <c r="M204" s="10" t="s">
        <v>439</v>
      </c>
      <c r="N204" s="252" t="s">
        <v>439</v>
      </c>
    </row>
    <row r="205" spans="4:14" x14ac:dyDescent="0.2">
      <c r="D205" s="259" t="s">
        <v>439</v>
      </c>
      <c r="E205" s="1" t="s">
        <v>439</v>
      </c>
      <c r="F205" s="1" t="s">
        <v>439</v>
      </c>
      <c r="G205" s="9" t="s">
        <v>439</v>
      </c>
      <c r="H205" s="1" t="s">
        <v>439</v>
      </c>
      <c r="I205" s="1" t="s">
        <v>439</v>
      </c>
      <c r="J205" s="1" t="s">
        <v>439</v>
      </c>
      <c r="K205" s="1" t="s">
        <v>439</v>
      </c>
      <c r="L205" s="119" t="s">
        <v>439</v>
      </c>
      <c r="M205" s="10" t="s">
        <v>439</v>
      </c>
      <c r="N205" s="252" t="s">
        <v>439</v>
      </c>
    </row>
    <row r="206" spans="4:14" x14ac:dyDescent="0.2">
      <c r="D206" s="259" t="s">
        <v>439</v>
      </c>
      <c r="E206" s="1" t="s">
        <v>439</v>
      </c>
      <c r="F206" s="1" t="s">
        <v>439</v>
      </c>
      <c r="G206" s="9" t="s">
        <v>439</v>
      </c>
      <c r="H206" s="1" t="s">
        <v>439</v>
      </c>
      <c r="I206" s="1" t="s">
        <v>439</v>
      </c>
      <c r="J206" s="1" t="s">
        <v>439</v>
      </c>
      <c r="K206" s="1" t="s">
        <v>439</v>
      </c>
      <c r="L206" s="119" t="s">
        <v>439</v>
      </c>
      <c r="M206" s="10" t="s">
        <v>439</v>
      </c>
      <c r="N206" s="252" t="s">
        <v>439</v>
      </c>
    </row>
    <row r="207" spans="4:14" x14ac:dyDescent="0.2">
      <c r="D207" s="259" t="s">
        <v>439</v>
      </c>
      <c r="E207" s="1" t="s">
        <v>439</v>
      </c>
      <c r="F207" s="1" t="s">
        <v>439</v>
      </c>
      <c r="G207" s="9" t="s">
        <v>439</v>
      </c>
      <c r="H207" s="1" t="s">
        <v>439</v>
      </c>
      <c r="I207" s="1" t="s">
        <v>439</v>
      </c>
      <c r="J207" s="1" t="s">
        <v>439</v>
      </c>
      <c r="K207" s="1" t="s">
        <v>439</v>
      </c>
      <c r="L207" s="119" t="s">
        <v>439</v>
      </c>
      <c r="M207" s="10" t="s">
        <v>439</v>
      </c>
      <c r="N207" s="252" t="s">
        <v>439</v>
      </c>
    </row>
    <row r="208" spans="4:14" x14ac:dyDescent="0.2">
      <c r="D208" s="259" t="s">
        <v>439</v>
      </c>
      <c r="E208" s="1" t="s">
        <v>439</v>
      </c>
      <c r="F208" s="1" t="s">
        <v>439</v>
      </c>
      <c r="G208" s="9" t="s">
        <v>439</v>
      </c>
      <c r="H208" s="1" t="s">
        <v>439</v>
      </c>
      <c r="I208" s="1" t="s">
        <v>439</v>
      </c>
      <c r="J208" s="1" t="s">
        <v>439</v>
      </c>
      <c r="K208" s="1" t="s">
        <v>439</v>
      </c>
      <c r="L208" s="119" t="s">
        <v>439</v>
      </c>
      <c r="M208" s="10" t="s">
        <v>439</v>
      </c>
      <c r="N208" s="252" t="s">
        <v>439</v>
      </c>
    </row>
    <row r="209" spans="4:14" x14ac:dyDescent="0.2">
      <c r="D209" s="259" t="s">
        <v>439</v>
      </c>
      <c r="E209" s="1" t="s">
        <v>439</v>
      </c>
      <c r="F209" s="1" t="s">
        <v>439</v>
      </c>
      <c r="G209" s="9" t="s">
        <v>439</v>
      </c>
      <c r="H209" s="1" t="s">
        <v>439</v>
      </c>
      <c r="I209" s="1" t="s">
        <v>439</v>
      </c>
      <c r="J209" s="1" t="s">
        <v>439</v>
      </c>
      <c r="K209" s="1" t="s">
        <v>439</v>
      </c>
      <c r="L209" s="119" t="s">
        <v>439</v>
      </c>
      <c r="M209" s="10" t="s">
        <v>439</v>
      </c>
      <c r="N209" s="252" t="s">
        <v>439</v>
      </c>
    </row>
    <row r="210" spans="4:14" x14ac:dyDescent="0.2">
      <c r="D210" s="259" t="s">
        <v>439</v>
      </c>
      <c r="E210" s="1" t="s">
        <v>439</v>
      </c>
      <c r="F210" s="1" t="s">
        <v>439</v>
      </c>
      <c r="G210" s="9" t="s">
        <v>439</v>
      </c>
      <c r="H210" s="1" t="s">
        <v>439</v>
      </c>
      <c r="I210" s="1" t="s">
        <v>439</v>
      </c>
      <c r="J210" s="1" t="s">
        <v>439</v>
      </c>
      <c r="K210" s="1" t="s">
        <v>439</v>
      </c>
      <c r="L210" s="119" t="s">
        <v>439</v>
      </c>
      <c r="M210" s="10" t="s">
        <v>439</v>
      </c>
      <c r="N210" s="252" t="s">
        <v>439</v>
      </c>
    </row>
    <row r="211" spans="4:14" x14ac:dyDescent="0.2">
      <c r="D211" s="259" t="s">
        <v>439</v>
      </c>
      <c r="E211" s="1" t="s">
        <v>439</v>
      </c>
      <c r="F211" s="1" t="s">
        <v>439</v>
      </c>
      <c r="G211" s="9" t="s">
        <v>439</v>
      </c>
      <c r="H211" s="1" t="s">
        <v>439</v>
      </c>
      <c r="I211" s="1" t="s">
        <v>439</v>
      </c>
      <c r="J211" s="1" t="s">
        <v>439</v>
      </c>
      <c r="K211" s="1" t="s">
        <v>439</v>
      </c>
      <c r="L211" s="119" t="s">
        <v>439</v>
      </c>
      <c r="M211" s="10" t="s">
        <v>439</v>
      </c>
      <c r="N211" s="252" t="s">
        <v>439</v>
      </c>
    </row>
    <row r="212" spans="4:14" x14ac:dyDescent="0.2">
      <c r="D212" s="259" t="s">
        <v>439</v>
      </c>
      <c r="E212" s="1" t="s">
        <v>439</v>
      </c>
      <c r="F212" s="1" t="s">
        <v>439</v>
      </c>
      <c r="G212" s="9" t="s">
        <v>439</v>
      </c>
      <c r="H212" s="1" t="s">
        <v>439</v>
      </c>
      <c r="I212" s="1" t="s">
        <v>439</v>
      </c>
      <c r="J212" s="1" t="s">
        <v>439</v>
      </c>
      <c r="K212" s="1" t="s">
        <v>439</v>
      </c>
      <c r="L212" s="119" t="s">
        <v>439</v>
      </c>
      <c r="M212" s="10" t="s">
        <v>439</v>
      </c>
      <c r="N212" s="252" t="s">
        <v>439</v>
      </c>
    </row>
    <row r="213" spans="4:14" x14ac:dyDescent="0.2">
      <c r="D213" s="259" t="s">
        <v>439</v>
      </c>
      <c r="E213" s="1" t="s">
        <v>439</v>
      </c>
      <c r="F213" s="1" t="s">
        <v>439</v>
      </c>
      <c r="G213" s="9" t="s">
        <v>439</v>
      </c>
      <c r="H213" s="1" t="s">
        <v>439</v>
      </c>
      <c r="I213" s="1" t="s">
        <v>439</v>
      </c>
      <c r="J213" s="1" t="s">
        <v>439</v>
      </c>
      <c r="K213" s="1" t="s">
        <v>439</v>
      </c>
      <c r="L213" s="119" t="s">
        <v>439</v>
      </c>
      <c r="M213" s="10" t="s">
        <v>439</v>
      </c>
      <c r="N213" s="252" t="s">
        <v>439</v>
      </c>
    </row>
    <row r="214" spans="4:14" x14ac:dyDescent="0.2">
      <c r="D214" s="259" t="s">
        <v>439</v>
      </c>
      <c r="E214" s="1" t="s">
        <v>439</v>
      </c>
      <c r="F214" s="1" t="s">
        <v>439</v>
      </c>
      <c r="G214" s="9" t="s">
        <v>439</v>
      </c>
      <c r="H214" s="1" t="s">
        <v>439</v>
      </c>
      <c r="I214" s="1" t="s">
        <v>439</v>
      </c>
      <c r="J214" s="1" t="s">
        <v>439</v>
      </c>
      <c r="K214" s="1" t="s">
        <v>439</v>
      </c>
      <c r="L214" s="119" t="s">
        <v>439</v>
      </c>
      <c r="M214" s="10" t="s">
        <v>439</v>
      </c>
      <c r="N214" s="252" t="s">
        <v>439</v>
      </c>
    </row>
    <row r="215" spans="4:14" x14ac:dyDescent="0.2">
      <c r="D215" s="259" t="s">
        <v>439</v>
      </c>
      <c r="E215" s="1" t="s">
        <v>439</v>
      </c>
      <c r="F215" s="1" t="s">
        <v>439</v>
      </c>
      <c r="G215" s="9" t="s">
        <v>439</v>
      </c>
      <c r="H215" s="1" t="s">
        <v>439</v>
      </c>
      <c r="I215" s="1" t="s">
        <v>439</v>
      </c>
      <c r="J215" s="1" t="s">
        <v>439</v>
      </c>
      <c r="K215" s="1" t="s">
        <v>439</v>
      </c>
      <c r="L215" s="119" t="s">
        <v>439</v>
      </c>
      <c r="M215" s="10" t="s">
        <v>439</v>
      </c>
      <c r="N215" s="252" t="s">
        <v>439</v>
      </c>
    </row>
    <row r="216" spans="4:14" x14ac:dyDescent="0.2">
      <c r="D216" s="259" t="s">
        <v>439</v>
      </c>
      <c r="E216" s="1" t="s">
        <v>439</v>
      </c>
      <c r="F216" s="1" t="s">
        <v>439</v>
      </c>
      <c r="G216" s="9" t="s">
        <v>439</v>
      </c>
      <c r="H216" s="1" t="s">
        <v>439</v>
      </c>
      <c r="I216" s="1" t="s">
        <v>439</v>
      </c>
      <c r="J216" s="1" t="s">
        <v>439</v>
      </c>
      <c r="K216" s="1" t="s">
        <v>439</v>
      </c>
      <c r="L216" s="119" t="s">
        <v>439</v>
      </c>
      <c r="M216" s="10" t="s">
        <v>439</v>
      </c>
      <c r="N216" s="252" t="s">
        <v>439</v>
      </c>
    </row>
    <row r="217" spans="4:14" x14ac:dyDescent="0.2">
      <c r="D217" s="259" t="s">
        <v>439</v>
      </c>
      <c r="E217" s="1" t="s">
        <v>439</v>
      </c>
      <c r="F217" s="1" t="s">
        <v>439</v>
      </c>
      <c r="G217" s="9" t="s">
        <v>439</v>
      </c>
      <c r="H217" s="1" t="s">
        <v>439</v>
      </c>
      <c r="I217" s="1" t="s">
        <v>439</v>
      </c>
      <c r="J217" s="1" t="s">
        <v>439</v>
      </c>
      <c r="K217" s="1" t="s">
        <v>439</v>
      </c>
      <c r="L217" s="119" t="s">
        <v>439</v>
      </c>
      <c r="M217" s="10" t="s">
        <v>439</v>
      </c>
      <c r="N217" s="252" t="s">
        <v>439</v>
      </c>
    </row>
    <row r="218" spans="4:14" x14ac:dyDescent="0.2">
      <c r="D218" s="259" t="s">
        <v>439</v>
      </c>
      <c r="E218" s="1" t="s">
        <v>439</v>
      </c>
      <c r="F218" s="1" t="s">
        <v>439</v>
      </c>
      <c r="G218" s="9" t="s">
        <v>439</v>
      </c>
      <c r="H218" s="1" t="s">
        <v>439</v>
      </c>
      <c r="I218" s="1" t="s">
        <v>439</v>
      </c>
      <c r="J218" s="1" t="s">
        <v>439</v>
      </c>
      <c r="K218" s="1" t="s">
        <v>439</v>
      </c>
      <c r="L218" s="119" t="s">
        <v>439</v>
      </c>
      <c r="M218" s="10" t="s">
        <v>439</v>
      </c>
      <c r="N218" s="252" t="s">
        <v>439</v>
      </c>
    </row>
    <row r="219" spans="4:14" x14ac:dyDescent="0.2">
      <c r="D219" s="259" t="s">
        <v>439</v>
      </c>
      <c r="E219" s="1" t="s">
        <v>439</v>
      </c>
      <c r="F219" s="1" t="s">
        <v>439</v>
      </c>
      <c r="G219" s="9" t="s">
        <v>439</v>
      </c>
      <c r="H219" s="1" t="s">
        <v>439</v>
      </c>
      <c r="I219" s="1" t="s">
        <v>439</v>
      </c>
      <c r="J219" s="1" t="s">
        <v>439</v>
      </c>
      <c r="K219" s="1" t="s">
        <v>439</v>
      </c>
      <c r="L219" s="119" t="s">
        <v>439</v>
      </c>
      <c r="M219" s="10" t="s">
        <v>439</v>
      </c>
      <c r="N219" s="252" t="s">
        <v>439</v>
      </c>
    </row>
    <row r="220" spans="4:14" x14ac:dyDescent="0.2">
      <c r="D220" s="259" t="s">
        <v>439</v>
      </c>
      <c r="E220" s="1" t="s">
        <v>439</v>
      </c>
      <c r="F220" s="1" t="s">
        <v>439</v>
      </c>
      <c r="G220" s="9" t="s">
        <v>439</v>
      </c>
      <c r="H220" s="1" t="s">
        <v>439</v>
      </c>
      <c r="I220" s="1" t="s">
        <v>439</v>
      </c>
      <c r="J220" s="1" t="s">
        <v>439</v>
      </c>
      <c r="K220" s="1" t="s">
        <v>439</v>
      </c>
      <c r="L220" s="119" t="s">
        <v>439</v>
      </c>
      <c r="M220" s="10" t="s">
        <v>439</v>
      </c>
      <c r="N220" s="252" t="s">
        <v>439</v>
      </c>
    </row>
    <row r="221" spans="4:14" x14ac:dyDescent="0.2">
      <c r="D221" s="259" t="s">
        <v>439</v>
      </c>
      <c r="E221" s="1" t="s">
        <v>439</v>
      </c>
      <c r="F221" s="1" t="s">
        <v>439</v>
      </c>
      <c r="G221" s="9" t="s">
        <v>439</v>
      </c>
      <c r="H221" s="1" t="s">
        <v>439</v>
      </c>
      <c r="I221" s="1" t="s">
        <v>439</v>
      </c>
      <c r="J221" s="1" t="s">
        <v>439</v>
      </c>
      <c r="K221" s="1" t="s">
        <v>439</v>
      </c>
      <c r="L221" s="119" t="s">
        <v>439</v>
      </c>
      <c r="M221" s="10" t="s">
        <v>439</v>
      </c>
      <c r="N221" s="252" t="s">
        <v>439</v>
      </c>
    </row>
    <row r="222" spans="4:14" x14ac:dyDescent="0.2">
      <c r="D222" s="259" t="s">
        <v>439</v>
      </c>
      <c r="E222" s="1" t="s">
        <v>439</v>
      </c>
      <c r="F222" s="1" t="s">
        <v>439</v>
      </c>
      <c r="G222" s="9" t="s">
        <v>439</v>
      </c>
      <c r="H222" s="1" t="s">
        <v>439</v>
      </c>
      <c r="I222" s="1" t="s">
        <v>439</v>
      </c>
      <c r="J222" s="1" t="s">
        <v>439</v>
      </c>
      <c r="K222" s="1" t="s">
        <v>439</v>
      </c>
      <c r="L222" s="119" t="s">
        <v>439</v>
      </c>
      <c r="M222" s="10" t="s">
        <v>439</v>
      </c>
      <c r="N222" s="252" t="s">
        <v>439</v>
      </c>
    </row>
    <row r="223" spans="4:14" x14ac:dyDescent="0.2">
      <c r="D223" s="259" t="s">
        <v>439</v>
      </c>
      <c r="E223" s="1" t="s">
        <v>439</v>
      </c>
      <c r="F223" s="1" t="s">
        <v>439</v>
      </c>
      <c r="G223" s="9" t="s">
        <v>439</v>
      </c>
      <c r="H223" s="1" t="s">
        <v>439</v>
      </c>
      <c r="I223" s="1" t="s">
        <v>439</v>
      </c>
      <c r="J223" s="1" t="s">
        <v>439</v>
      </c>
      <c r="K223" s="1" t="s">
        <v>439</v>
      </c>
      <c r="L223" s="119" t="s">
        <v>439</v>
      </c>
      <c r="M223" s="10" t="s">
        <v>439</v>
      </c>
      <c r="N223" s="252" t="s">
        <v>439</v>
      </c>
    </row>
    <row r="224" spans="4:14" x14ac:dyDescent="0.2">
      <c r="D224" s="259" t="s">
        <v>439</v>
      </c>
      <c r="E224" s="1" t="s">
        <v>439</v>
      </c>
      <c r="F224" s="1" t="s">
        <v>439</v>
      </c>
      <c r="G224" s="9" t="s">
        <v>439</v>
      </c>
      <c r="H224" s="1" t="s">
        <v>439</v>
      </c>
      <c r="I224" s="1" t="s">
        <v>439</v>
      </c>
      <c r="J224" s="1" t="s">
        <v>439</v>
      </c>
      <c r="K224" s="1" t="s">
        <v>439</v>
      </c>
      <c r="L224" s="119" t="s">
        <v>439</v>
      </c>
      <c r="M224" s="10" t="s">
        <v>439</v>
      </c>
      <c r="N224" s="252" t="s">
        <v>439</v>
      </c>
    </row>
    <row r="225" spans="4:14" x14ac:dyDescent="0.2">
      <c r="D225" s="259" t="s">
        <v>439</v>
      </c>
      <c r="E225" s="1" t="s">
        <v>439</v>
      </c>
      <c r="F225" s="1" t="s">
        <v>439</v>
      </c>
      <c r="G225" s="9" t="s">
        <v>439</v>
      </c>
      <c r="H225" s="1" t="s">
        <v>439</v>
      </c>
      <c r="I225" s="1" t="s">
        <v>439</v>
      </c>
      <c r="J225" s="1" t="s">
        <v>439</v>
      </c>
      <c r="K225" s="1" t="s">
        <v>439</v>
      </c>
      <c r="L225" s="119" t="s">
        <v>439</v>
      </c>
      <c r="M225" s="10" t="s">
        <v>439</v>
      </c>
      <c r="N225" s="252" t="s">
        <v>439</v>
      </c>
    </row>
    <row r="226" spans="4:14" x14ac:dyDescent="0.2">
      <c r="D226" s="259" t="s">
        <v>439</v>
      </c>
      <c r="E226" s="1" t="s">
        <v>439</v>
      </c>
      <c r="F226" s="1" t="s">
        <v>439</v>
      </c>
      <c r="G226" s="9" t="s">
        <v>439</v>
      </c>
      <c r="H226" s="1" t="s">
        <v>439</v>
      </c>
      <c r="I226" s="1" t="s">
        <v>439</v>
      </c>
      <c r="J226" s="1" t="s">
        <v>439</v>
      </c>
      <c r="K226" s="1" t="s">
        <v>439</v>
      </c>
      <c r="L226" s="119" t="s">
        <v>439</v>
      </c>
      <c r="M226" s="10" t="s">
        <v>439</v>
      </c>
      <c r="N226" s="252" t="s">
        <v>439</v>
      </c>
    </row>
    <row r="227" spans="4:14" x14ac:dyDescent="0.2">
      <c r="D227" s="259" t="s">
        <v>439</v>
      </c>
      <c r="E227" s="1" t="s">
        <v>439</v>
      </c>
      <c r="F227" s="1" t="s">
        <v>439</v>
      </c>
      <c r="G227" s="9" t="s">
        <v>439</v>
      </c>
      <c r="H227" s="1" t="s">
        <v>439</v>
      </c>
      <c r="I227" s="1" t="s">
        <v>439</v>
      </c>
      <c r="J227" s="1" t="s">
        <v>439</v>
      </c>
      <c r="K227" s="1" t="s">
        <v>439</v>
      </c>
      <c r="L227" s="119" t="s">
        <v>439</v>
      </c>
      <c r="M227" s="10" t="s">
        <v>439</v>
      </c>
      <c r="N227" s="252" t="s">
        <v>439</v>
      </c>
    </row>
    <row r="228" spans="4:14" x14ac:dyDescent="0.2">
      <c r="D228" s="259" t="s">
        <v>439</v>
      </c>
      <c r="E228" s="1" t="s">
        <v>439</v>
      </c>
      <c r="F228" s="1" t="s">
        <v>439</v>
      </c>
      <c r="G228" s="9" t="s">
        <v>439</v>
      </c>
      <c r="H228" s="1" t="s">
        <v>439</v>
      </c>
      <c r="I228" s="1" t="s">
        <v>439</v>
      </c>
      <c r="J228" s="1" t="s">
        <v>439</v>
      </c>
      <c r="K228" s="1" t="s">
        <v>439</v>
      </c>
      <c r="L228" s="119" t="s">
        <v>439</v>
      </c>
      <c r="M228" s="10" t="s">
        <v>439</v>
      </c>
      <c r="N228" s="252" t="s">
        <v>439</v>
      </c>
    </row>
    <row r="229" spans="4:14" x14ac:dyDescent="0.2">
      <c r="D229" s="259" t="s">
        <v>439</v>
      </c>
      <c r="E229" s="1" t="s">
        <v>439</v>
      </c>
      <c r="F229" s="1" t="s">
        <v>439</v>
      </c>
      <c r="G229" s="9" t="s">
        <v>439</v>
      </c>
      <c r="H229" s="1" t="s">
        <v>439</v>
      </c>
      <c r="I229" s="1" t="s">
        <v>439</v>
      </c>
      <c r="J229" s="1" t="s">
        <v>439</v>
      </c>
      <c r="K229" s="1" t="s">
        <v>439</v>
      </c>
      <c r="L229" s="119" t="s">
        <v>439</v>
      </c>
      <c r="M229" s="10" t="s">
        <v>439</v>
      </c>
      <c r="N229" s="252" t="s">
        <v>439</v>
      </c>
    </row>
    <row r="230" spans="4:14" x14ac:dyDescent="0.2">
      <c r="D230" s="259" t="s">
        <v>439</v>
      </c>
      <c r="E230" s="1" t="s">
        <v>439</v>
      </c>
      <c r="F230" s="1" t="s">
        <v>439</v>
      </c>
      <c r="G230" s="9" t="s">
        <v>439</v>
      </c>
      <c r="H230" s="1" t="s">
        <v>439</v>
      </c>
      <c r="I230" s="1" t="s">
        <v>439</v>
      </c>
      <c r="J230" s="1" t="s">
        <v>439</v>
      </c>
      <c r="K230" s="1" t="s">
        <v>439</v>
      </c>
      <c r="L230" s="119" t="s">
        <v>439</v>
      </c>
      <c r="M230" s="10" t="s">
        <v>439</v>
      </c>
      <c r="N230" s="252" t="s">
        <v>439</v>
      </c>
    </row>
    <row r="231" spans="4:14" x14ac:dyDescent="0.2">
      <c r="D231" s="259" t="s">
        <v>439</v>
      </c>
      <c r="E231" s="1" t="s">
        <v>439</v>
      </c>
      <c r="F231" s="1" t="s">
        <v>439</v>
      </c>
      <c r="G231" s="9" t="s">
        <v>439</v>
      </c>
      <c r="H231" s="1" t="s">
        <v>439</v>
      </c>
      <c r="I231" s="1" t="s">
        <v>439</v>
      </c>
      <c r="J231" s="1" t="s">
        <v>439</v>
      </c>
      <c r="K231" s="1" t="s">
        <v>439</v>
      </c>
      <c r="L231" s="119" t="s">
        <v>439</v>
      </c>
      <c r="M231" s="10" t="s">
        <v>439</v>
      </c>
      <c r="N231" s="252" t="s">
        <v>439</v>
      </c>
    </row>
    <row r="232" spans="4:14" x14ac:dyDescent="0.2">
      <c r="D232" s="259" t="s">
        <v>439</v>
      </c>
      <c r="E232" s="1" t="s">
        <v>439</v>
      </c>
      <c r="F232" s="1" t="s">
        <v>439</v>
      </c>
      <c r="G232" s="9" t="s">
        <v>439</v>
      </c>
      <c r="H232" s="1" t="s">
        <v>439</v>
      </c>
      <c r="I232" s="1" t="s">
        <v>439</v>
      </c>
      <c r="J232" s="1" t="s">
        <v>439</v>
      </c>
      <c r="K232" s="1" t="s">
        <v>439</v>
      </c>
      <c r="L232" s="119" t="s">
        <v>439</v>
      </c>
      <c r="M232" s="10" t="s">
        <v>439</v>
      </c>
      <c r="N232" s="252" t="s">
        <v>439</v>
      </c>
    </row>
    <row r="233" spans="4:14" x14ac:dyDescent="0.2">
      <c r="D233" s="259" t="s">
        <v>439</v>
      </c>
      <c r="E233" s="1" t="s">
        <v>439</v>
      </c>
      <c r="F233" s="1" t="s">
        <v>439</v>
      </c>
      <c r="G233" s="9" t="s">
        <v>439</v>
      </c>
      <c r="H233" s="1" t="s">
        <v>439</v>
      </c>
      <c r="I233" s="1" t="s">
        <v>439</v>
      </c>
      <c r="J233" s="1" t="s">
        <v>439</v>
      </c>
      <c r="K233" s="1" t="s">
        <v>439</v>
      </c>
      <c r="L233" s="119" t="s">
        <v>439</v>
      </c>
      <c r="M233" s="10" t="s">
        <v>439</v>
      </c>
      <c r="N233" s="252" t="s">
        <v>439</v>
      </c>
    </row>
    <row r="234" spans="4:14" x14ac:dyDescent="0.2">
      <c r="D234" s="259" t="s">
        <v>439</v>
      </c>
      <c r="E234" s="1" t="s">
        <v>439</v>
      </c>
      <c r="F234" s="1" t="s">
        <v>439</v>
      </c>
      <c r="G234" s="9" t="s">
        <v>439</v>
      </c>
      <c r="H234" s="1" t="s">
        <v>439</v>
      </c>
      <c r="I234" s="1" t="s">
        <v>439</v>
      </c>
      <c r="J234" s="1" t="s">
        <v>439</v>
      </c>
      <c r="K234" s="1" t="s">
        <v>439</v>
      </c>
      <c r="L234" s="119" t="s">
        <v>439</v>
      </c>
      <c r="M234" s="10" t="s">
        <v>439</v>
      </c>
      <c r="N234" s="252" t="s">
        <v>439</v>
      </c>
    </row>
    <row r="235" spans="4:14" x14ac:dyDescent="0.2">
      <c r="D235" s="259" t="s">
        <v>439</v>
      </c>
      <c r="E235" s="1" t="s">
        <v>439</v>
      </c>
      <c r="F235" s="1" t="s">
        <v>439</v>
      </c>
      <c r="G235" s="9" t="s">
        <v>439</v>
      </c>
      <c r="H235" s="1" t="s">
        <v>439</v>
      </c>
      <c r="I235" s="1" t="s">
        <v>439</v>
      </c>
      <c r="J235" s="1" t="s">
        <v>439</v>
      </c>
      <c r="K235" s="1" t="s">
        <v>439</v>
      </c>
      <c r="L235" s="119" t="s">
        <v>439</v>
      </c>
      <c r="M235" s="10" t="s">
        <v>439</v>
      </c>
      <c r="N235" s="252" t="s">
        <v>439</v>
      </c>
    </row>
    <row r="236" spans="4:14" x14ac:dyDescent="0.2">
      <c r="D236" s="259" t="s">
        <v>439</v>
      </c>
      <c r="E236" s="1" t="s">
        <v>439</v>
      </c>
      <c r="F236" s="1" t="s">
        <v>439</v>
      </c>
      <c r="G236" s="9" t="s">
        <v>439</v>
      </c>
      <c r="H236" s="1" t="s">
        <v>439</v>
      </c>
      <c r="I236" s="1" t="s">
        <v>439</v>
      </c>
      <c r="J236" s="1" t="s">
        <v>439</v>
      </c>
      <c r="K236" s="1" t="s">
        <v>439</v>
      </c>
      <c r="L236" s="119" t="s">
        <v>439</v>
      </c>
      <c r="M236" s="10" t="s">
        <v>439</v>
      </c>
      <c r="N236" s="252" t="s">
        <v>439</v>
      </c>
    </row>
    <row r="237" spans="4:14" x14ac:dyDescent="0.2">
      <c r="D237" s="259" t="s">
        <v>439</v>
      </c>
      <c r="E237" s="1" t="s">
        <v>439</v>
      </c>
      <c r="F237" s="1" t="s">
        <v>439</v>
      </c>
      <c r="G237" s="9" t="s">
        <v>439</v>
      </c>
      <c r="H237" s="1" t="s">
        <v>439</v>
      </c>
      <c r="I237" s="1" t="s">
        <v>439</v>
      </c>
      <c r="J237" s="1" t="s">
        <v>439</v>
      </c>
      <c r="K237" s="1" t="s">
        <v>439</v>
      </c>
      <c r="L237" s="119" t="s">
        <v>439</v>
      </c>
      <c r="M237" s="10" t="s">
        <v>439</v>
      </c>
      <c r="N237" s="252" t="s">
        <v>439</v>
      </c>
    </row>
    <row r="238" spans="4:14" x14ac:dyDescent="0.2">
      <c r="D238" s="259" t="s">
        <v>439</v>
      </c>
      <c r="E238" s="1" t="s">
        <v>439</v>
      </c>
      <c r="F238" s="1" t="s">
        <v>439</v>
      </c>
      <c r="G238" s="9" t="s">
        <v>439</v>
      </c>
      <c r="H238" s="1" t="s">
        <v>439</v>
      </c>
      <c r="I238" s="1" t="s">
        <v>439</v>
      </c>
      <c r="J238" s="1" t="s">
        <v>439</v>
      </c>
      <c r="K238" s="1" t="s">
        <v>439</v>
      </c>
      <c r="L238" s="119" t="s">
        <v>439</v>
      </c>
      <c r="M238" s="10" t="s">
        <v>439</v>
      </c>
      <c r="N238" s="252" t="s">
        <v>439</v>
      </c>
    </row>
    <row r="239" spans="4:14" x14ac:dyDescent="0.2">
      <c r="D239" s="259" t="s">
        <v>439</v>
      </c>
      <c r="E239" s="1" t="s">
        <v>439</v>
      </c>
      <c r="F239" s="1" t="s">
        <v>439</v>
      </c>
      <c r="G239" s="9" t="s">
        <v>439</v>
      </c>
      <c r="H239" s="1" t="s">
        <v>439</v>
      </c>
      <c r="I239" s="1" t="s">
        <v>439</v>
      </c>
      <c r="J239" s="1" t="s">
        <v>439</v>
      </c>
      <c r="K239" s="1" t="s">
        <v>439</v>
      </c>
      <c r="L239" s="119" t="s">
        <v>439</v>
      </c>
      <c r="M239" s="10" t="s">
        <v>439</v>
      </c>
      <c r="N239" s="252" t="s">
        <v>439</v>
      </c>
    </row>
    <row r="240" spans="4:14" x14ac:dyDescent="0.2">
      <c r="D240" s="259" t="s">
        <v>439</v>
      </c>
      <c r="E240" s="1" t="s">
        <v>439</v>
      </c>
      <c r="F240" s="1" t="s">
        <v>439</v>
      </c>
      <c r="G240" s="9" t="s">
        <v>439</v>
      </c>
      <c r="H240" s="1" t="s">
        <v>439</v>
      </c>
      <c r="I240" s="1" t="s">
        <v>439</v>
      </c>
      <c r="J240" s="1" t="s">
        <v>439</v>
      </c>
      <c r="K240" s="1" t="s">
        <v>439</v>
      </c>
      <c r="L240" s="119" t="s">
        <v>439</v>
      </c>
      <c r="M240" s="10" t="s">
        <v>439</v>
      </c>
      <c r="N240" s="252" t="s">
        <v>439</v>
      </c>
    </row>
    <row r="241" spans="4:14" x14ac:dyDescent="0.2">
      <c r="D241" s="259" t="s">
        <v>439</v>
      </c>
      <c r="E241" s="1" t="s">
        <v>439</v>
      </c>
      <c r="F241" s="1" t="s">
        <v>439</v>
      </c>
      <c r="G241" s="9" t="s">
        <v>439</v>
      </c>
      <c r="H241" s="1" t="s">
        <v>439</v>
      </c>
      <c r="I241" s="1" t="s">
        <v>439</v>
      </c>
      <c r="J241" s="1" t="s">
        <v>439</v>
      </c>
      <c r="K241" s="1" t="s">
        <v>439</v>
      </c>
      <c r="L241" s="119" t="s">
        <v>439</v>
      </c>
      <c r="M241" s="10" t="s">
        <v>439</v>
      </c>
      <c r="N241" s="252" t="s">
        <v>439</v>
      </c>
    </row>
    <row r="242" spans="4:14" x14ac:dyDescent="0.2">
      <c r="D242" s="259" t="s">
        <v>439</v>
      </c>
      <c r="E242" s="1" t="s">
        <v>439</v>
      </c>
      <c r="F242" s="1" t="s">
        <v>439</v>
      </c>
      <c r="G242" s="9" t="s">
        <v>439</v>
      </c>
      <c r="H242" s="1" t="s">
        <v>439</v>
      </c>
      <c r="I242" s="1" t="s">
        <v>439</v>
      </c>
      <c r="J242" s="1" t="s">
        <v>439</v>
      </c>
      <c r="K242" s="1" t="s">
        <v>439</v>
      </c>
      <c r="L242" s="119" t="s">
        <v>439</v>
      </c>
      <c r="M242" s="10" t="s">
        <v>439</v>
      </c>
      <c r="N242" s="252" t="s">
        <v>439</v>
      </c>
    </row>
    <row r="243" spans="4:14" x14ac:dyDescent="0.2">
      <c r="D243" s="259" t="s">
        <v>439</v>
      </c>
      <c r="E243" s="1" t="s">
        <v>439</v>
      </c>
      <c r="F243" s="1" t="s">
        <v>439</v>
      </c>
      <c r="G243" s="9" t="s">
        <v>439</v>
      </c>
      <c r="H243" s="1" t="s">
        <v>439</v>
      </c>
      <c r="I243" s="1" t="s">
        <v>439</v>
      </c>
      <c r="J243" s="1" t="s">
        <v>439</v>
      </c>
      <c r="K243" s="1" t="s">
        <v>439</v>
      </c>
      <c r="L243" s="119" t="s">
        <v>439</v>
      </c>
      <c r="M243" s="10" t="s">
        <v>439</v>
      </c>
      <c r="N243" s="252" t="s">
        <v>439</v>
      </c>
    </row>
    <row r="244" spans="4:14" x14ac:dyDescent="0.2">
      <c r="D244" s="259" t="s">
        <v>439</v>
      </c>
      <c r="E244" s="1" t="s">
        <v>439</v>
      </c>
      <c r="F244" s="1" t="s">
        <v>439</v>
      </c>
      <c r="G244" s="9" t="s">
        <v>439</v>
      </c>
      <c r="H244" s="1" t="s">
        <v>439</v>
      </c>
      <c r="I244" s="1" t="s">
        <v>439</v>
      </c>
      <c r="J244" s="1" t="s">
        <v>439</v>
      </c>
      <c r="K244" s="1" t="s">
        <v>439</v>
      </c>
      <c r="L244" s="119" t="s">
        <v>439</v>
      </c>
      <c r="M244" s="10" t="s">
        <v>439</v>
      </c>
      <c r="N244" s="252" t="s">
        <v>439</v>
      </c>
    </row>
    <row r="245" spans="4:14" x14ac:dyDescent="0.2">
      <c r="D245" s="259" t="s">
        <v>439</v>
      </c>
      <c r="E245" s="1" t="s">
        <v>439</v>
      </c>
      <c r="F245" s="1" t="s">
        <v>439</v>
      </c>
      <c r="G245" s="9" t="s">
        <v>439</v>
      </c>
      <c r="H245" s="1" t="s">
        <v>439</v>
      </c>
      <c r="I245" s="1" t="s">
        <v>439</v>
      </c>
      <c r="J245" s="1" t="s">
        <v>439</v>
      </c>
      <c r="K245" s="1" t="s">
        <v>439</v>
      </c>
      <c r="L245" s="119" t="s">
        <v>439</v>
      </c>
      <c r="M245" s="10" t="s">
        <v>439</v>
      </c>
      <c r="N245" s="252" t="s">
        <v>439</v>
      </c>
    </row>
    <row r="246" spans="4:14" x14ac:dyDescent="0.2">
      <c r="D246" s="259" t="s">
        <v>439</v>
      </c>
      <c r="E246" s="1" t="s">
        <v>439</v>
      </c>
      <c r="F246" s="1" t="s">
        <v>439</v>
      </c>
      <c r="G246" s="9" t="s">
        <v>439</v>
      </c>
      <c r="H246" s="1" t="s">
        <v>439</v>
      </c>
      <c r="I246" s="1" t="s">
        <v>439</v>
      </c>
      <c r="J246" s="1" t="s">
        <v>439</v>
      </c>
      <c r="K246" s="1" t="s">
        <v>439</v>
      </c>
      <c r="L246" s="119" t="s">
        <v>439</v>
      </c>
      <c r="M246" s="10" t="s">
        <v>439</v>
      </c>
      <c r="N246" s="252" t="s">
        <v>439</v>
      </c>
    </row>
    <row r="247" spans="4:14" x14ac:dyDescent="0.2">
      <c r="D247" s="259" t="s">
        <v>439</v>
      </c>
      <c r="E247" s="1" t="s">
        <v>439</v>
      </c>
      <c r="F247" s="1" t="s">
        <v>439</v>
      </c>
      <c r="G247" s="9" t="s">
        <v>439</v>
      </c>
      <c r="H247" s="1" t="s">
        <v>439</v>
      </c>
      <c r="I247" s="1" t="s">
        <v>439</v>
      </c>
      <c r="J247" s="1" t="s">
        <v>439</v>
      </c>
      <c r="K247" s="1" t="s">
        <v>439</v>
      </c>
      <c r="L247" s="119" t="s">
        <v>439</v>
      </c>
      <c r="M247" s="10" t="s">
        <v>439</v>
      </c>
      <c r="N247" s="252" t="s">
        <v>439</v>
      </c>
    </row>
    <row r="248" spans="4:14" x14ac:dyDescent="0.2">
      <c r="D248" s="259" t="s">
        <v>439</v>
      </c>
      <c r="E248" s="1" t="s">
        <v>439</v>
      </c>
      <c r="F248" s="1" t="s">
        <v>439</v>
      </c>
      <c r="G248" s="9" t="s">
        <v>439</v>
      </c>
      <c r="H248" s="1" t="s">
        <v>439</v>
      </c>
      <c r="I248" s="1" t="s">
        <v>439</v>
      </c>
      <c r="J248" s="1" t="s">
        <v>439</v>
      </c>
      <c r="K248" s="1" t="s">
        <v>439</v>
      </c>
      <c r="L248" s="119" t="s">
        <v>439</v>
      </c>
      <c r="M248" s="10" t="s">
        <v>439</v>
      </c>
      <c r="N248" s="252" t="s">
        <v>439</v>
      </c>
    </row>
    <row r="249" spans="4:14" x14ac:dyDescent="0.2">
      <c r="D249" s="259" t="s">
        <v>439</v>
      </c>
      <c r="E249" s="1" t="s">
        <v>439</v>
      </c>
      <c r="F249" s="1" t="s">
        <v>439</v>
      </c>
      <c r="G249" s="9" t="s">
        <v>439</v>
      </c>
      <c r="H249" s="1" t="s">
        <v>439</v>
      </c>
      <c r="I249" s="1" t="s">
        <v>439</v>
      </c>
      <c r="J249" s="1" t="s">
        <v>439</v>
      </c>
      <c r="K249" s="1" t="s">
        <v>439</v>
      </c>
      <c r="L249" s="119" t="s">
        <v>439</v>
      </c>
      <c r="M249" s="10" t="s">
        <v>439</v>
      </c>
      <c r="N249" s="252" t="s">
        <v>439</v>
      </c>
    </row>
    <row r="250" spans="4:14" x14ac:dyDescent="0.2">
      <c r="D250" s="259" t="s">
        <v>439</v>
      </c>
      <c r="E250" s="1" t="s">
        <v>439</v>
      </c>
      <c r="F250" s="1" t="s">
        <v>439</v>
      </c>
      <c r="G250" s="9" t="s">
        <v>439</v>
      </c>
      <c r="H250" s="1" t="s">
        <v>439</v>
      </c>
      <c r="I250" s="1" t="s">
        <v>439</v>
      </c>
      <c r="J250" s="1" t="s">
        <v>439</v>
      </c>
      <c r="K250" s="1" t="s">
        <v>439</v>
      </c>
      <c r="L250" s="119" t="s">
        <v>439</v>
      </c>
      <c r="M250" s="10" t="s">
        <v>439</v>
      </c>
      <c r="N250" s="252" t="s">
        <v>439</v>
      </c>
    </row>
    <row r="251" spans="4:14" x14ac:dyDescent="0.2">
      <c r="D251" s="259" t="s">
        <v>439</v>
      </c>
      <c r="E251" s="1" t="s">
        <v>439</v>
      </c>
      <c r="F251" s="1" t="s">
        <v>439</v>
      </c>
      <c r="G251" s="9" t="s">
        <v>439</v>
      </c>
      <c r="H251" s="1" t="s">
        <v>439</v>
      </c>
      <c r="I251" s="1" t="s">
        <v>439</v>
      </c>
      <c r="J251" s="1" t="s">
        <v>439</v>
      </c>
      <c r="K251" s="1" t="s">
        <v>439</v>
      </c>
      <c r="L251" s="119" t="s">
        <v>439</v>
      </c>
      <c r="M251" s="10" t="s">
        <v>439</v>
      </c>
      <c r="N251" s="252" t="s">
        <v>439</v>
      </c>
    </row>
    <row r="252" spans="4:14" x14ac:dyDescent="0.2">
      <c r="D252" s="259" t="s">
        <v>439</v>
      </c>
      <c r="E252" s="1" t="s">
        <v>439</v>
      </c>
      <c r="F252" s="1" t="s">
        <v>439</v>
      </c>
      <c r="G252" s="9" t="s">
        <v>439</v>
      </c>
      <c r="H252" s="1" t="s">
        <v>439</v>
      </c>
      <c r="I252" s="1" t="s">
        <v>439</v>
      </c>
      <c r="J252" s="1" t="s">
        <v>439</v>
      </c>
      <c r="K252" s="1" t="s">
        <v>439</v>
      </c>
      <c r="L252" s="119" t="s">
        <v>439</v>
      </c>
      <c r="M252" s="10" t="s">
        <v>439</v>
      </c>
      <c r="N252" s="252" t="s">
        <v>439</v>
      </c>
    </row>
    <row r="253" spans="4:14" x14ac:dyDescent="0.2">
      <c r="D253" s="259" t="s">
        <v>439</v>
      </c>
      <c r="E253" s="1" t="s">
        <v>439</v>
      </c>
      <c r="F253" s="1" t="s">
        <v>439</v>
      </c>
      <c r="G253" s="9" t="s">
        <v>439</v>
      </c>
      <c r="H253" s="1" t="s">
        <v>439</v>
      </c>
      <c r="I253" s="1" t="s">
        <v>439</v>
      </c>
      <c r="J253" s="1" t="s">
        <v>439</v>
      </c>
      <c r="K253" s="1" t="s">
        <v>439</v>
      </c>
      <c r="L253" s="119" t="s">
        <v>439</v>
      </c>
      <c r="M253" s="10" t="s">
        <v>439</v>
      </c>
      <c r="N253" s="252" t="s">
        <v>439</v>
      </c>
    </row>
    <row r="254" spans="4:14" x14ac:dyDescent="0.2">
      <c r="D254" s="259" t="s">
        <v>439</v>
      </c>
      <c r="E254" s="1" t="s">
        <v>439</v>
      </c>
      <c r="F254" s="1" t="s">
        <v>439</v>
      </c>
      <c r="G254" s="9" t="s">
        <v>439</v>
      </c>
      <c r="H254" s="1" t="s">
        <v>439</v>
      </c>
      <c r="I254" s="1" t="s">
        <v>439</v>
      </c>
      <c r="J254" s="1" t="s">
        <v>439</v>
      </c>
      <c r="K254" s="1" t="s">
        <v>439</v>
      </c>
      <c r="L254" s="119" t="s">
        <v>439</v>
      </c>
      <c r="M254" s="10" t="s">
        <v>439</v>
      </c>
      <c r="N254" s="252" t="s">
        <v>439</v>
      </c>
    </row>
    <row r="255" spans="4:14" x14ac:dyDescent="0.2">
      <c r="D255" s="259" t="s">
        <v>439</v>
      </c>
      <c r="E255" s="1" t="s">
        <v>439</v>
      </c>
      <c r="F255" s="1" t="s">
        <v>439</v>
      </c>
      <c r="G255" s="9" t="s">
        <v>439</v>
      </c>
      <c r="H255" s="1" t="s">
        <v>439</v>
      </c>
      <c r="I255" s="1" t="s">
        <v>439</v>
      </c>
      <c r="J255" s="1" t="s">
        <v>439</v>
      </c>
      <c r="K255" s="1" t="s">
        <v>439</v>
      </c>
      <c r="L255" s="119" t="s">
        <v>439</v>
      </c>
      <c r="M255" s="10" t="s">
        <v>439</v>
      </c>
      <c r="N255" s="252" t="s">
        <v>439</v>
      </c>
    </row>
    <row r="256" spans="4:14" x14ac:dyDescent="0.2">
      <c r="D256" s="259" t="s">
        <v>439</v>
      </c>
      <c r="E256" s="1" t="s">
        <v>439</v>
      </c>
      <c r="F256" s="1" t="s">
        <v>439</v>
      </c>
      <c r="G256" s="9" t="s">
        <v>439</v>
      </c>
      <c r="H256" s="1" t="s">
        <v>439</v>
      </c>
      <c r="I256" s="1" t="s">
        <v>439</v>
      </c>
      <c r="J256" s="1" t="s">
        <v>439</v>
      </c>
      <c r="K256" s="1" t="s">
        <v>439</v>
      </c>
      <c r="L256" s="119" t="s">
        <v>439</v>
      </c>
      <c r="M256" s="10" t="s">
        <v>439</v>
      </c>
      <c r="N256" s="252" t="s">
        <v>439</v>
      </c>
    </row>
    <row r="257" spans="4:14" x14ac:dyDescent="0.2">
      <c r="D257" s="259" t="s">
        <v>439</v>
      </c>
      <c r="E257" s="1" t="s">
        <v>439</v>
      </c>
      <c r="F257" s="1" t="s">
        <v>439</v>
      </c>
      <c r="G257" s="9" t="s">
        <v>439</v>
      </c>
      <c r="H257" s="1" t="s">
        <v>439</v>
      </c>
      <c r="I257" s="1" t="s">
        <v>439</v>
      </c>
      <c r="J257" s="1" t="s">
        <v>439</v>
      </c>
      <c r="K257" s="1" t="s">
        <v>439</v>
      </c>
      <c r="L257" s="119" t="s">
        <v>439</v>
      </c>
      <c r="M257" s="10" t="s">
        <v>439</v>
      </c>
      <c r="N257" s="252" t="s">
        <v>439</v>
      </c>
    </row>
    <row r="258" spans="4:14" x14ac:dyDescent="0.2">
      <c r="D258" s="259" t="s">
        <v>439</v>
      </c>
      <c r="E258" s="1" t="s">
        <v>439</v>
      </c>
      <c r="F258" s="1" t="s">
        <v>439</v>
      </c>
      <c r="G258" s="9" t="s">
        <v>439</v>
      </c>
      <c r="H258" s="1" t="s">
        <v>439</v>
      </c>
      <c r="I258" s="1" t="s">
        <v>439</v>
      </c>
      <c r="J258" s="1" t="s">
        <v>439</v>
      </c>
      <c r="K258" s="1" t="s">
        <v>439</v>
      </c>
      <c r="L258" s="119" t="s">
        <v>439</v>
      </c>
      <c r="M258" s="10" t="s">
        <v>439</v>
      </c>
      <c r="N258" s="252" t="s">
        <v>439</v>
      </c>
    </row>
    <row r="259" spans="4:14" x14ac:dyDescent="0.2">
      <c r="D259" s="259" t="s">
        <v>439</v>
      </c>
      <c r="E259" s="1" t="s">
        <v>439</v>
      </c>
      <c r="F259" s="1" t="s">
        <v>439</v>
      </c>
      <c r="G259" s="9" t="s">
        <v>439</v>
      </c>
      <c r="H259" s="1" t="s">
        <v>439</v>
      </c>
      <c r="I259" s="1" t="s">
        <v>439</v>
      </c>
      <c r="J259" s="1" t="s">
        <v>439</v>
      </c>
      <c r="K259" s="1" t="s">
        <v>439</v>
      </c>
      <c r="L259" s="119" t="s">
        <v>439</v>
      </c>
      <c r="M259" s="10" t="s">
        <v>439</v>
      </c>
      <c r="N259" s="252" t="s">
        <v>439</v>
      </c>
    </row>
    <row r="260" spans="4:14" x14ac:dyDescent="0.2">
      <c r="D260" s="259" t="s">
        <v>439</v>
      </c>
      <c r="E260" s="1" t="s">
        <v>439</v>
      </c>
      <c r="F260" s="1" t="s">
        <v>439</v>
      </c>
      <c r="G260" s="9" t="s">
        <v>439</v>
      </c>
      <c r="H260" s="1" t="s">
        <v>439</v>
      </c>
      <c r="I260" s="1" t="s">
        <v>439</v>
      </c>
      <c r="J260" s="1" t="s">
        <v>439</v>
      </c>
      <c r="K260" s="1" t="s">
        <v>439</v>
      </c>
      <c r="L260" s="119" t="s">
        <v>439</v>
      </c>
      <c r="M260" s="10" t="s">
        <v>439</v>
      </c>
      <c r="N260" s="252" t="s">
        <v>439</v>
      </c>
    </row>
    <row r="261" spans="4:14" x14ac:dyDescent="0.2">
      <c r="D261" s="259" t="s">
        <v>439</v>
      </c>
      <c r="E261" s="1" t="s">
        <v>439</v>
      </c>
      <c r="F261" s="1" t="s">
        <v>439</v>
      </c>
      <c r="G261" s="9" t="s">
        <v>439</v>
      </c>
      <c r="H261" s="1" t="s">
        <v>439</v>
      </c>
      <c r="I261" s="1" t="s">
        <v>439</v>
      </c>
      <c r="J261" s="1" t="s">
        <v>439</v>
      </c>
      <c r="K261" s="1" t="s">
        <v>439</v>
      </c>
      <c r="L261" s="119" t="s">
        <v>439</v>
      </c>
      <c r="M261" s="10" t="s">
        <v>439</v>
      </c>
      <c r="N261" s="252" t="s">
        <v>439</v>
      </c>
    </row>
    <row r="262" spans="4:14" x14ac:dyDescent="0.2">
      <c r="D262" s="259" t="s">
        <v>439</v>
      </c>
      <c r="E262" s="1" t="s">
        <v>439</v>
      </c>
      <c r="F262" s="1" t="s">
        <v>439</v>
      </c>
      <c r="G262" s="9" t="s">
        <v>439</v>
      </c>
      <c r="H262" s="1" t="s">
        <v>439</v>
      </c>
      <c r="I262" s="1" t="s">
        <v>439</v>
      </c>
      <c r="J262" s="1" t="s">
        <v>439</v>
      </c>
      <c r="K262" s="1" t="s">
        <v>439</v>
      </c>
      <c r="L262" s="119" t="s">
        <v>439</v>
      </c>
      <c r="M262" s="10" t="s">
        <v>439</v>
      </c>
      <c r="N262" s="252" t="s">
        <v>439</v>
      </c>
    </row>
    <row r="263" spans="4:14" x14ac:dyDescent="0.2">
      <c r="D263" s="259" t="s">
        <v>439</v>
      </c>
      <c r="E263" s="1" t="s">
        <v>439</v>
      </c>
      <c r="F263" s="1" t="s">
        <v>439</v>
      </c>
      <c r="G263" s="9" t="s">
        <v>439</v>
      </c>
      <c r="H263" s="1" t="s">
        <v>439</v>
      </c>
      <c r="I263" s="1" t="s">
        <v>439</v>
      </c>
      <c r="J263" s="1" t="s">
        <v>439</v>
      </c>
      <c r="K263" s="1" t="s">
        <v>439</v>
      </c>
      <c r="L263" s="119" t="s">
        <v>439</v>
      </c>
      <c r="M263" s="10" t="s">
        <v>439</v>
      </c>
      <c r="N263" s="252" t="s">
        <v>439</v>
      </c>
    </row>
    <row r="264" spans="4:14" x14ac:dyDescent="0.2">
      <c r="D264" s="259" t="s">
        <v>439</v>
      </c>
      <c r="E264" s="1" t="s">
        <v>439</v>
      </c>
      <c r="F264" s="1" t="s">
        <v>439</v>
      </c>
      <c r="G264" s="9" t="s">
        <v>439</v>
      </c>
      <c r="H264" s="1" t="s">
        <v>439</v>
      </c>
      <c r="I264" s="1" t="s">
        <v>439</v>
      </c>
      <c r="J264" s="1" t="s">
        <v>439</v>
      </c>
      <c r="K264" s="1" t="s">
        <v>439</v>
      </c>
      <c r="L264" s="119" t="s">
        <v>439</v>
      </c>
      <c r="M264" s="10" t="s">
        <v>439</v>
      </c>
      <c r="N264" s="252" t="s">
        <v>439</v>
      </c>
    </row>
    <row r="265" spans="4:14" x14ac:dyDescent="0.2">
      <c r="D265" s="259" t="s">
        <v>439</v>
      </c>
      <c r="E265" s="1" t="s">
        <v>439</v>
      </c>
      <c r="F265" s="1" t="s">
        <v>439</v>
      </c>
      <c r="G265" s="9" t="s">
        <v>439</v>
      </c>
      <c r="H265" s="1" t="s">
        <v>439</v>
      </c>
      <c r="I265" s="1" t="s">
        <v>439</v>
      </c>
      <c r="J265" s="1" t="s">
        <v>439</v>
      </c>
      <c r="K265" s="1" t="s">
        <v>439</v>
      </c>
      <c r="L265" s="119" t="s">
        <v>439</v>
      </c>
      <c r="M265" s="10" t="s">
        <v>439</v>
      </c>
      <c r="N265" s="252" t="s">
        <v>439</v>
      </c>
    </row>
    <row r="266" spans="4:14" x14ac:dyDescent="0.2">
      <c r="D266" s="259" t="s">
        <v>439</v>
      </c>
      <c r="E266" s="1" t="s">
        <v>439</v>
      </c>
      <c r="F266" s="1" t="s">
        <v>439</v>
      </c>
      <c r="G266" s="9" t="s">
        <v>439</v>
      </c>
      <c r="H266" s="1" t="s">
        <v>439</v>
      </c>
      <c r="I266" s="1" t="s">
        <v>439</v>
      </c>
      <c r="J266" s="1" t="s">
        <v>439</v>
      </c>
      <c r="K266" s="1" t="s">
        <v>439</v>
      </c>
      <c r="L266" s="119" t="s">
        <v>439</v>
      </c>
      <c r="M266" s="10" t="s">
        <v>439</v>
      </c>
      <c r="N266" s="252" t="s">
        <v>439</v>
      </c>
    </row>
    <row r="267" spans="4:14" x14ac:dyDescent="0.2">
      <c r="D267" s="259" t="s">
        <v>439</v>
      </c>
      <c r="E267" s="1" t="s">
        <v>439</v>
      </c>
      <c r="F267" s="1" t="s">
        <v>439</v>
      </c>
      <c r="G267" s="9" t="s">
        <v>439</v>
      </c>
      <c r="H267" s="1" t="s">
        <v>439</v>
      </c>
      <c r="I267" s="1" t="s">
        <v>439</v>
      </c>
      <c r="J267" s="1" t="s">
        <v>439</v>
      </c>
      <c r="K267" s="1" t="s">
        <v>439</v>
      </c>
      <c r="L267" s="119" t="s">
        <v>439</v>
      </c>
      <c r="M267" s="10" t="s">
        <v>439</v>
      </c>
      <c r="N267" s="252" t="s">
        <v>439</v>
      </c>
    </row>
    <row r="268" spans="4:14" x14ac:dyDescent="0.2">
      <c r="D268" s="259" t="s">
        <v>439</v>
      </c>
      <c r="E268" s="1" t="s">
        <v>439</v>
      </c>
      <c r="F268" s="1" t="s">
        <v>439</v>
      </c>
      <c r="G268" s="9" t="s">
        <v>439</v>
      </c>
      <c r="H268" s="1" t="s">
        <v>439</v>
      </c>
      <c r="I268" s="1" t="s">
        <v>439</v>
      </c>
      <c r="J268" s="1" t="s">
        <v>439</v>
      </c>
      <c r="K268" s="1" t="s">
        <v>439</v>
      </c>
      <c r="L268" s="119" t="s">
        <v>439</v>
      </c>
      <c r="M268" s="10" t="s">
        <v>439</v>
      </c>
      <c r="N268" s="252" t="s">
        <v>439</v>
      </c>
    </row>
    <row r="269" spans="4:14" x14ac:dyDescent="0.2">
      <c r="D269" s="259" t="s">
        <v>439</v>
      </c>
      <c r="E269" s="1" t="s">
        <v>439</v>
      </c>
      <c r="F269" s="1" t="s">
        <v>439</v>
      </c>
      <c r="G269" s="9" t="s">
        <v>439</v>
      </c>
      <c r="H269" s="1" t="s">
        <v>439</v>
      </c>
      <c r="I269" s="1" t="s">
        <v>439</v>
      </c>
      <c r="J269" s="1" t="s">
        <v>439</v>
      </c>
      <c r="K269" s="1" t="s">
        <v>439</v>
      </c>
      <c r="L269" s="119" t="s">
        <v>439</v>
      </c>
      <c r="M269" s="10" t="s">
        <v>439</v>
      </c>
      <c r="N269" s="252" t="s">
        <v>439</v>
      </c>
    </row>
    <row r="270" spans="4:14" x14ac:dyDescent="0.2">
      <c r="D270" s="259" t="s">
        <v>439</v>
      </c>
      <c r="E270" s="1" t="s">
        <v>439</v>
      </c>
      <c r="F270" s="1" t="s">
        <v>439</v>
      </c>
      <c r="G270" s="9" t="s">
        <v>439</v>
      </c>
      <c r="H270" s="1" t="s">
        <v>439</v>
      </c>
      <c r="I270" s="1" t="s">
        <v>439</v>
      </c>
      <c r="J270" s="1" t="s">
        <v>439</v>
      </c>
      <c r="K270" s="1" t="s">
        <v>439</v>
      </c>
      <c r="L270" s="119" t="s">
        <v>439</v>
      </c>
      <c r="M270" s="10" t="s">
        <v>439</v>
      </c>
      <c r="N270" s="252" t="s">
        <v>439</v>
      </c>
    </row>
    <row r="271" spans="4:14" x14ac:dyDescent="0.2">
      <c r="D271" s="259" t="s">
        <v>439</v>
      </c>
      <c r="E271" s="1" t="s">
        <v>439</v>
      </c>
      <c r="F271" s="1" t="s">
        <v>439</v>
      </c>
      <c r="G271" s="9" t="s">
        <v>439</v>
      </c>
      <c r="H271" s="1" t="s">
        <v>439</v>
      </c>
      <c r="I271" s="1" t="s">
        <v>439</v>
      </c>
      <c r="J271" s="1" t="s">
        <v>439</v>
      </c>
      <c r="K271" s="1" t="s">
        <v>439</v>
      </c>
      <c r="L271" s="119" t="s">
        <v>439</v>
      </c>
      <c r="M271" s="10" t="s">
        <v>439</v>
      </c>
      <c r="N271" s="252" t="s">
        <v>439</v>
      </c>
    </row>
    <row r="272" spans="4:14" x14ac:dyDescent="0.2">
      <c r="D272" s="259" t="s">
        <v>439</v>
      </c>
      <c r="E272" s="1" t="s">
        <v>439</v>
      </c>
      <c r="F272" s="1" t="s">
        <v>439</v>
      </c>
      <c r="G272" s="9" t="s">
        <v>439</v>
      </c>
      <c r="H272" s="1" t="s">
        <v>439</v>
      </c>
      <c r="I272" s="1" t="s">
        <v>439</v>
      </c>
      <c r="J272" s="1" t="s">
        <v>439</v>
      </c>
      <c r="K272" s="1" t="s">
        <v>439</v>
      </c>
      <c r="L272" s="119" t="s">
        <v>439</v>
      </c>
      <c r="M272" s="10" t="s">
        <v>439</v>
      </c>
      <c r="N272" s="252" t="s">
        <v>439</v>
      </c>
    </row>
    <row r="273" spans="4:14" x14ac:dyDescent="0.2">
      <c r="D273" s="259" t="s">
        <v>439</v>
      </c>
      <c r="E273" s="1" t="s">
        <v>439</v>
      </c>
      <c r="F273" s="1" t="s">
        <v>439</v>
      </c>
      <c r="G273" s="9" t="s">
        <v>439</v>
      </c>
      <c r="H273" s="1" t="s">
        <v>439</v>
      </c>
      <c r="I273" s="1" t="s">
        <v>439</v>
      </c>
      <c r="J273" s="1" t="s">
        <v>439</v>
      </c>
      <c r="K273" s="1" t="s">
        <v>439</v>
      </c>
      <c r="L273" s="119" t="s">
        <v>439</v>
      </c>
      <c r="M273" s="10" t="s">
        <v>439</v>
      </c>
      <c r="N273" s="252" t="s">
        <v>439</v>
      </c>
    </row>
    <row r="274" spans="4:14" x14ac:dyDescent="0.2">
      <c r="D274" s="259" t="s">
        <v>439</v>
      </c>
      <c r="E274" s="1" t="s">
        <v>439</v>
      </c>
      <c r="F274" s="1" t="s">
        <v>439</v>
      </c>
      <c r="G274" s="9" t="s">
        <v>439</v>
      </c>
      <c r="H274" s="1" t="s">
        <v>439</v>
      </c>
      <c r="I274" s="1" t="s">
        <v>439</v>
      </c>
      <c r="J274" s="1" t="s">
        <v>439</v>
      </c>
      <c r="K274" s="1" t="s">
        <v>439</v>
      </c>
      <c r="L274" s="119" t="s">
        <v>439</v>
      </c>
      <c r="M274" s="10" t="s">
        <v>439</v>
      </c>
      <c r="N274" s="252" t="s">
        <v>439</v>
      </c>
    </row>
    <row r="275" spans="4:14" x14ac:dyDescent="0.2">
      <c r="D275" s="259" t="s">
        <v>439</v>
      </c>
      <c r="E275" s="1" t="s">
        <v>439</v>
      </c>
      <c r="F275" s="1" t="s">
        <v>439</v>
      </c>
      <c r="G275" s="9" t="s">
        <v>439</v>
      </c>
      <c r="H275" s="1" t="s">
        <v>439</v>
      </c>
      <c r="I275" s="1" t="s">
        <v>439</v>
      </c>
      <c r="J275" s="1" t="s">
        <v>439</v>
      </c>
      <c r="K275" s="1" t="s">
        <v>439</v>
      </c>
      <c r="L275" s="119" t="s">
        <v>439</v>
      </c>
      <c r="M275" s="10" t="s">
        <v>439</v>
      </c>
      <c r="N275" s="252" t="s">
        <v>439</v>
      </c>
    </row>
    <row r="276" spans="4:14" x14ac:dyDescent="0.2">
      <c r="D276" s="259" t="s">
        <v>439</v>
      </c>
      <c r="E276" s="1" t="s">
        <v>439</v>
      </c>
      <c r="F276" s="1" t="s">
        <v>439</v>
      </c>
      <c r="G276" s="9" t="s">
        <v>439</v>
      </c>
      <c r="H276" s="1" t="s">
        <v>439</v>
      </c>
      <c r="I276" s="1" t="s">
        <v>439</v>
      </c>
      <c r="J276" s="1" t="s">
        <v>439</v>
      </c>
      <c r="K276" s="1" t="s">
        <v>439</v>
      </c>
      <c r="L276" s="119" t="s">
        <v>439</v>
      </c>
      <c r="M276" s="10" t="s">
        <v>439</v>
      </c>
      <c r="N276" s="252" t="s">
        <v>439</v>
      </c>
    </row>
    <row r="277" spans="4:14" x14ac:dyDescent="0.2">
      <c r="D277" s="259" t="s">
        <v>439</v>
      </c>
      <c r="E277" s="1" t="s">
        <v>439</v>
      </c>
      <c r="F277" s="1" t="s">
        <v>439</v>
      </c>
      <c r="G277" s="9" t="s">
        <v>439</v>
      </c>
      <c r="H277" s="1" t="s">
        <v>439</v>
      </c>
      <c r="I277" s="1" t="s">
        <v>439</v>
      </c>
      <c r="J277" s="1" t="s">
        <v>439</v>
      </c>
      <c r="K277" s="1" t="s">
        <v>439</v>
      </c>
      <c r="L277" s="119" t="s">
        <v>439</v>
      </c>
      <c r="M277" s="10" t="s">
        <v>439</v>
      </c>
      <c r="N277" s="252" t="s">
        <v>439</v>
      </c>
    </row>
    <row r="278" spans="4:14" x14ac:dyDescent="0.2">
      <c r="D278" s="259" t="s">
        <v>439</v>
      </c>
      <c r="E278" s="1" t="s">
        <v>439</v>
      </c>
      <c r="F278" s="1" t="s">
        <v>439</v>
      </c>
      <c r="G278" s="9" t="s">
        <v>439</v>
      </c>
      <c r="H278" s="1" t="s">
        <v>439</v>
      </c>
      <c r="I278" s="1" t="s">
        <v>439</v>
      </c>
      <c r="J278" s="1" t="s">
        <v>439</v>
      </c>
      <c r="K278" s="1" t="s">
        <v>439</v>
      </c>
      <c r="L278" s="119" t="s">
        <v>439</v>
      </c>
      <c r="M278" s="10" t="s">
        <v>439</v>
      </c>
      <c r="N278" s="252" t="s">
        <v>439</v>
      </c>
    </row>
    <row r="279" spans="4:14" x14ac:dyDescent="0.2">
      <c r="D279" s="259" t="s">
        <v>439</v>
      </c>
      <c r="E279" s="1" t="s">
        <v>439</v>
      </c>
      <c r="F279" s="1" t="s">
        <v>439</v>
      </c>
      <c r="G279" s="9" t="s">
        <v>439</v>
      </c>
      <c r="H279" s="1" t="s">
        <v>439</v>
      </c>
      <c r="I279" s="1" t="s">
        <v>439</v>
      </c>
      <c r="J279" s="1" t="s">
        <v>439</v>
      </c>
      <c r="K279" s="1" t="s">
        <v>439</v>
      </c>
      <c r="L279" s="119" t="s">
        <v>439</v>
      </c>
      <c r="M279" s="10" t="s">
        <v>439</v>
      </c>
      <c r="N279" s="252" t="s">
        <v>439</v>
      </c>
    </row>
    <row r="280" spans="4:14" x14ac:dyDescent="0.2">
      <c r="D280" s="259" t="s">
        <v>439</v>
      </c>
      <c r="E280" s="1" t="s">
        <v>439</v>
      </c>
      <c r="F280" s="1" t="s">
        <v>439</v>
      </c>
      <c r="G280" s="9" t="s">
        <v>439</v>
      </c>
      <c r="H280" s="1" t="s">
        <v>439</v>
      </c>
      <c r="I280" s="1" t="s">
        <v>439</v>
      </c>
      <c r="J280" s="1" t="s">
        <v>439</v>
      </c>
      <c r="K280" s="1" t="s">
        <v>439</v>
      </c>
      <c r="L280" s="119" t="s">
        <v>439</v>
      </c>
      <c r="M280" s="10" t="s">
        <v>439</v>
      </c>
      <c r="N280" s="252" t="s">
        <v>439</v>
      </c>
    </row>
    <row r="281" spans="4:14" x14ac:dyDescent="0.2">
      <c r="D281" s="259" t="s">
        <v>439</v>
      </c>
      <c r="E281" s="1" t="s">
        <v>439</v>
      </c>
      <c r="F281" s="1" t="s">
        <v>439</v>
      </c>
      <c r="G281" s="9" t="s">
        <v>439</v>
      </c>
      <c r="H281" s="1" t="s">
        <v>439</v>
      </c>
      <c r="I281" s="1" t="s">
        <v>439</v>
      </c>
      <c r="J281" s="1" t="s">
        <v>439</v>
      </c>
      <c r="K281" s="1" t="s">
        <v>439</v>
      </c>
      <c r="L281" s="119" t="s">
        <v>439</v>
      </c>
      <c r="M281" s="10" t="s">
        <v>439</v>
      </c>
      <c r="N281" s="252" t="s">
        <v>439</v>
      </c>
    </row>
    <row r="282" spans="4:14" x14ac:dyDescent="0.2">
      <c r="D282" s="259" t="s">
        <v>439</v>
      </c>
      <c r="E282" s="1" t="s">
        <v>439</v>
      </c>
      <c r="F282" s="1" t="s">
        <v>439</v>
      </c>
      <c r="G282" s="9" t="s">
        <v>439</v>
      </c>
      <c r="H282" s="1" t="s">
        <v>439</v>
      </c>
      <c r="I282" s="1" t="s">
        <v>439</v>
      </c>
      <c r="J282" s="1" t="s">
        <v>439</v>
      </c>
      <c r="K282" s="1" t="s">
        <v>439</v>
      </c>
      <c r="L282" s="119" t="s">
        <v>439</v>
      </c>
      <c r="M282" s="10" t="s">
        <v>439</v>
      </c>
      <c r="N282" s="252" t="s">
        <v>439</v>
      </c>
    </row>
    <row r="283" spans="4:14" x14ac:dyDescent="0.2">
      <c r="D283" s="259" t="s">
        <v>439</v>
      </c>
      <c r="E283" s="1" t="s">
        <v>439</v>
      </c>
      <c r="F283" s="1" t="s">
        <v>439</v>
      </c>
      <c r="G283" s="9" t="s">
        <v>439</v>
      </c>
      <c r="H283" s="1" t="s">
        <v>439</v>
      </c>
      <c r="I283" s="1" t="s">
        <v>439</v>
      </c>
      <c r="J283" s="1" t="s">
        <v>439</v>
      </c>
      <c r="K283" s="1" t="s">
        <v>439</v>
      </c>
      <c r="L283" s="119" t="s">
        <v>439</v>
      </c>
      <c r="M283" s="10" t="s">
        <v>439</v>
      </c>
      <c r="N283" s="252" t="s">
        <v>439</v>
      </c>
    </row>
    <row r="284" spans="4:14" x14ac:dyDescent="0.2">
      <c r="D284" s="259" t="s">
        <v>439</v>
      </c>
      <c r="E284" s="1" t="s">
        <v>439</v>
      </c>
      <c r="F284" s="1" t="s">
        <v>439</v>
      </c>
      <c r="G284" s="9" t="s">
        <v>439</v>
      </c>
      <c r="H284" s="1" t="s">
        <v>439</v>
      </c>
      <c r="I284" s="1" t="s">
        <v>439</v>
      </c>
      <c r="J284" s="1" t="s">
        <v>439</v>
      </c>
      <c r="K284" s="1" t="s">
        <v>439</v>
      </c>
      <c r="L284" s="119" t="s">
        <v>439</v>
      </c>
      <c r="M284" s="10" t="s">
        <v>439</v>
      </c>
      <c r="N284" s="252" t="s">
        <v>439</v>
      </c>
    </row>
    <row r="285" spans="4:14" x14ac:dyDescent="0.2">
      <c r="D285" s="259" t="s">
        <v>439</v>
      </c>
      <c r="E285" s="1" t="s">
        <v>439</v>
      </c>
      <c r="F285" s="1" t="s">
        <v>439</v>
      </c>
      <c r="G285" s="9" t="s">
        <v>439</v>
      </c>
      <c r="H285" s="1" t="s">
        <v>439</v>
      </c>
      <c r="I285" s="1" t="s">
        <v>439</v>
      </c>
      <c r="J285" s="1" t="s">
        <v>439</v>
      </c>
      <c r="K285" s="1" t="s">
        <v>439</v>
      </c>
      <c r="L285" s="119" t="s">
        <v>439</v>
      </c>
      <c r="M285" s="10" t="s">
        <v>439</v>
      </c>
      <c r="N285" s="252" t="s">
        <v>439</v>
      </c>
    </row>
    <row r="286" spans="4:14" x14ac:dyDescent="0.2">
      <c r="D286" s="259" t="s">
        <v>439</v>
      </c>
      <c r="E286" s="1" t="s">
        <v>439</v>
      </c>
      <c r="F286" s="1" t="s">
        <v>439</v>
      </c>
      <c r="G286" s="9" t="s">
        <v>439</v>
      </c>
      <c r="H286" s="1" t="s">
        <v>439</v>
      </c>
      <c r="I286" s="1" t="s">
        <v>439</v>
      </c>
      <c r="J286" s="1" t="s">
        <v>439</v>
      </c>
      <c r="K286" s="1" t="s">
        <v>439</v>
      </c>
      <c r="L286" s="119" t="s">
        <v>439</v>
      </c>
      <c r="M286" s="10" t="s">
        <v>439</v>
      </c>
      <c r="N286" s="252" t="s">
        <v>439</v>
      </c>
    </row>
    <row r="287" spans="4:14" x14ac:dyDescent="0.2">
      <c r="D287" s="259" t="s">
        <v>439</v>
      </c>
      <c r="E287" s="1" t="s">
        <v>439</v>
      </c>
      <c r="F287" s="1" t="s">
        <v>439</v>
      </c>
      <c r="G287" s="9" t="s">
        <v>439</v>
      </c>
      <c r="H287" s="1" t="s">
        <v>439</v>
      </c>
      <c r="I287" s="1" t="s">
        <v>439</v>
      </c>
      <c r="J287" s="1" t="s">
        <v>439</v>
      </c>
      <c r="K287" s="1" t="s">
        <v>439</v>
      </c>
      <c r="L287" s="119" t="s">
        <v>439</v>
      </c>
      <c r="M287" s="10" t="s">
        <v>439</v>
      </c>
      <c r="N287" s="252" t="s">
        <v>439</v>
      </c>
    </row>
    <row r="288" spans="4:14" x14ac:dyDescent="0.2">
      <c r="D288" s="259" t="s">
        <v>439</v>
      </c>
      <c r="E288" s="1" t="s">
        <v>439</v>
      </c>
      <c r="F288" s="1" t="s">
        <v>439</v>
      </c>
      <c r="G288" s="9" t="s">
        <v>439</v>
      </c>
      <c r="H288" s="1" t="s">
        <v>439</v>
      </c>
      <c r="I288" s="1" t="s">
        <v>439</v>
      </c>
      <c r="J288" s="1" t="s">
        <v>439</v>
      </c>
      <c r="K288" s="1" t="s">
        <v>439</v>
      </c>
      <c r="L288" s="119" t="s">
        <v>439</v>
      </c>
      <c r="M288" s="10" t="s">
        <v>439</v>
      </c>
      <c r="N288" s="252" t="s">
        <v>439</v>
      </c>
    </row>
    <row r="289" spans="4:14" x14ac:dyDescent="0.2">
      <c r="D289" s="259" t="s">
        <v>439</v>
      </c>
      <c r="E289" s="1" t="s">
        <v>439</v>
      </c>
      <c r="F289" s="1" t="s">
        <v>439</v>
      </c>
      <c r="G289" s="9" t="s">
        <v>439</v>
      </c>
      <c r="H289" s="1" t="s">
        <v>439</v>
      </c>
      <c r="I289" s="1" t="s">
        <v>439</v>
      </c>
      <c r="J289" s="1" t="s">
        <v>439</v>
      </c>
      <c r="K289" s="1" t="s">
        <v>439</v>
      </c>
      <c r="L289" s="119" t="s">
        <v>439</v>
      </c>
      <c r="M289" s="10" t="s">
        <v>439</v>
      </c>
      <c r="N289" s="252" t="s">
        <v>439</v>
      </c>
    </row>
    <row r="290" spans="4:14" x14ac:dyDescent="0.2">
      <c r="D290" s="259" t="s">
        <v>439</v>
      </c>
      <c r="E290" s="1" t="s">
        <v>439</v>
      </c>
      <c r="F290" s="1" t="s">
        <v>439</v>
      </c>
      <c r="G290" s="9" t="s">
        <v>439</v>
      </c>
      <c r="H290" s="1" t="s">
        <v>439</v>
      </c>
      <c r="I290" s="1" t="s">
        <v>439</v>
      </c>
      <c r="J290" s="1" t="s">
        <v>439</v>
      </c>
      <c r="K290" s="1" t="s">
        <v>439</v>
      </c>
      <c r="L290" s="119" t="s">
        <v>439</v>
      </c>
      <c r="M290" s="10" t="s">
        <v>439</v>
      </c>
      <c r="N290" s="252" t="s">
        <v>439</v>
      </c>
    </row>
    <row r="291" spans="4:14" x14ac:dyDescent="0.2">
      <c r="D291" s="259" t="s">
        <v>439</v>
      </c>
      <c r="E291" s="1" t="s">
        <v>439</v>
      </c>
      <c r="F291" s="1" t="s">
        <v>439</v>
      </c>
      <c r="G291" s="9" t="s">
        <v>439</v>
      </c>
      <c r="H291" s="1" t="s">
        <v>439</v>
      </c>
      <c r="I291" s="1" t="s">
        <v>439</v>
      </c>
      <c r="J291" s="1" t="s">
        <v>439</v>
      </c>
      <c r="K291" s="1" t="s">
        <v>439</v>
      </c>
      <c r="L291" s="119" t="s">
        <v>439</v>
      </c>
      <c r="M291" s="10" t="s">
        <v>439</v>
      </c>
      <c r="N291" s="252" t="s">
        <v>439</v>
      </c>
    </row>
    <row r="292" spans="4:14" x14ac:dyDescent="0.2">
      <c r="D292" s="259" t="s">
        <v>439</v>
      </c>
      <c r="E292" s="1" t="s">
        <v>439</v>
      </c>
      <c r="F292" s="1" t="s">
        <v>439</v>
      </c>
      <c r="G292" s="9" t="s">
        <v>439</v>
      </c>
      <c r="H292" s="1" t="s">
        <v>439</v>
      </c>
      <c r="I292" s="1" t="s">
        <v>439</v>
      </c>
      <c r="J292" s="1" t="s">
        <v>439</v>
      </c>
      <c r="K292" s="1" t="s">
        <v>439</v>
      </c>
      <c r="L292" s="119" t="s">
        <v>439</v>
      </c>
      <c r="M292" s="10" t="s">
        <v>439</v>
      </c>
      <c r="N292" s="252" t="s">
        <v>439</v>
      </c>
    </row>
    <row r="293" spans="4:14" x14ac:dyDescent="0.2">
      <c r="D293" s="259" t="s">
        <v>439</v>
      </c>
      <c r="E293" s="1" t="s">
        <v>439</v>
      </c>
      <c r="F293" s="1" t="s">
        <v>439</v>
      </c>
      <c r="G293" s="9" t="s">
        <v>439</v>
      </c>
      <c r="H293" s="1" t="s">
        <v>439</v>
      </c>
      <c r="I293" s="1" t="s">
        <v>439</v>
      </c>
      <c r="J293" s="1" t="s">
        <v>439</v>
      </c>
      <c r="K293" s="1" t="s">
        <v>439</v>
      </c>
      <c r="L293" s="119" t="s">
        <v>439</v>
      </c>
      <c r="M293" s="10" t="s">
        <v>439</v>
      </c>
      <c r="N293" s="252" t="s">
        <v>439</v>
      </c>
    </row>
    <row r="294" spans="4:14" x14ac:dyDescent="0.2">
      <c r="D294" s="259" t="s">
        <v>439</v>
      </c>
      <c r="E294" s="1" t="s">
        <v>439</v>
      </c>
      <c r="F294" s="1" t="s">
        <v>439</v>
      </c>
      <c r="G294" s="9" t="s">
        <v>439</v>
      </c>
      <c r="H294" s="1" t="s">
        <v>439</v>
      </c>
      <c r="I294" s="1" t="s">
        <v>439</v>
      </c>
      <c r="J294" s="1" t="s">
        <v>439</v>
      </c>
      <c r="K294" s="1" t="s">
        <v>439</v>
      </c>
      <c r="L294" s="119" t="s">
        <v>439</v>
      </c>
      <c r="M294" s="10" t="s">
        <v>439</v>
      </c>
      <c r="N294" s="252" t="s">
        <v>439</v>
      </c>
    </row>
    <row r="295" spans="4:14" x14ac:dyDescent="0.2">
      <c r="D295" s="259" t="s">
        <v>439</v>
      </c>
      <c r="E295" s="1" t="s">
        <v>439</v>
      </c>
      <c r="F295" s="1" t="s">
        <v>439</v>
      </c>
      <c r="G295" s="9" t="s">
        <v>439</v>
      </c>
      <c r="H295" s="1" t="s">
        <v>439</v>
      </c>
      <c r="I295" s="1" t="s">
        <v>439</v>
      </c>
      <c r="J295" s="1" t="s">
        <v>439</v>
      </c>
      <c r="K295" s="1" t="s">
        <v>439</v>
      </c>
      <c r="L295" s="119" t="s">
        <v>439</v>
      </c>
      <c r="M295" s="10" t="s">
        <v>439</v>
      </c>
      <c r="N295" s="252" t="s">
        <v>439</v>
      </c>
    </row>
    <row r="296" spans="4:14" x14ac:dyDescent="0.2">
      <c r="D296" s="259" t="s">
        <v>439</v>
      </c>
      <c r="E296" s="1" t="s">
        <v>439</v>
      </c>
      <c r="F296" s="1" t="s">
        <v>439</v>
      </c>
      <c r="G296" s="9" t="s">
        <v>439</v>
      </c>
      <c r="H296" s="1" t="s">
        <v>439</v>
      </c>
      <c r="I296" s="1" t="s">
        <v>439</v>
      </c>
      <c r="J296" s="1" t="s">
        <v>439</v>
      </c>
      <c r="K296" s="1" t="s">
        <v>439</v>
      </c>
      <c r="L296" s="119" t="s">
        <v>439</v>
      </c>
      <c r="M296" s="10" t="s">
        <v>439</v>
      </c>
      <c r="N296" s="252" t="s">
        <v>439</v>
      </c>
    </row>
    <row r="297" spans="4:14" x14ac:dyDescent="0.2">
      <c r="D297" s="259" t="s">
        <v>439</v>
      </c>
      <c r="E297" s="1" t="s">
        <v>439</v>
      </c>
      <c r="F297" s="1" t="s">
        <v>439</v>
      </c>
      <c r="G297" s="9" t="s">
        <v>439</v>
      </c>
      <c r="H297" s="1" t="s">
        <v>439</v>
      </c>
      <c r="I297" s="1" t="s">
        <v>439</v>
      </c>
      <c r="J297" s="1" t="s">
        <v>439</v>
      </c>
      <c r="K297" s="1" t="s">
        <v>439</v>
      </c>
      <c r="L297" s="119" t="s">
        <v>439</v>
      </c>
      <c r="M297" s="10" t="s">
        <v>439</v>
      </c>
      <c r="N297" s="252" t="s">
        <v>439</v>
      </c>
    </row>
    <row r="298" spans="4:14" x14ac:dyDescent="0.2">
      <c r="D298" s="259" t="s">
        <v>439</v>
      </c>
      <c r="E298" s="1" t="s">
        <v>439</v>
      </c>
      <c r="F298" s="1" t="s">
        <v>439</v>
      </c>
      <c r="G298" s="9" t="s">
        <v>439</v>
      </c>
      <c r="H298" s="1" t="s">
        <v>439</v>
      </c>
      <c r="I298" s="1" t="s">
        <v>439</v>
      </c>
      <c r="J298" s="1" t="s">
        <v>439</v>
      </c>
      <c r="K298" s="1" t="s">
        <v>439</v>
      </c>
      <c r="L298" s="119" t="s">
        <v>439</v>
      </c>
      <c r="M298" s="10" t="s">
        <v>439</v>
      </c>
      <c r="N298" s="252" t="s">
        <v>439</v>
      </c>
    </row>
    <row r="299" spans="4:14" x14ac:dyDescent="0.2">
      <c r="D299" s="259" t="s">
        <v>439</v>
      </c>
      <c r="E299" s="1" t="s">
        <v>439</v>
      </c>
      <c r="F299" s="1" t="s">
        <v>439</v>
      </c>
      <c r="G299" s="9" t="s">
        <v>439</v>
      </c>
      <c r="H299" s="1" t="s">
        <v>439</v>
      </c>
      <c r="I299" s="1" t="s">
        <v>439</v>
      </c>
      <c r="J299" s="1" t="s">
        <v>439</v>
      </c>
      <c r="K299" s="1" t="s">
        <v>439</v>
      </c>
      <c r="L299" s="119" t="s">
        <v>439</v>
      </c>
      <c r="M299" s="10" t="s">
        <v>439</v>
      </c>
      <c r="N299" s="252" t="s">
        <v>439</v>
      </c>
    </row>
    <row r="300" spans="4:14" x14ac:dyDescent="0.2">
      <c r="D300" s="259" t="s">
        <v>439</v>
      </c>
      <c r="E300" s="1" t="s">
        <v>439</v>
      </c>
      <c r="F300" s="1" t="s">
        <v>439</v>
      </c>
      <c r="G300" s="9" t="s">
        <v>439</v>
      </c>
      <c r="H300" s="1" t="s">
        <v>439</v>
      </c>
      <c r="I300" s="1" t="s">
        <v>439</v>
      </c>
      <c r="J300" s="1" t="s">
        <v>439</v>
      </c>
      <c r="K300" s="1" t="s">
        <v>439</v>
      </c>
      <c r="L300" s="119" t="s">
        <v>439</v>
      </c>
      <c r="M300" s="10" t="s">
        <v>439</v>
      </c>
      <c r="N300" s="252" t="s">
        <v>439</v>
      </c>
    </row>
    <row r="301" spans="4:14" x14ac:dyDescent="0.2">
      <c r="D301" s="259" t="s">
        <v>439</v>
      </c>
      <c r="E301" s="1" t="s">
        <v>439</v>
      </c>
      <c r="F301" s="1" t="s">
        <v>439</v>
      </c>
      <c r="G301" s="9" t="s">
        <v>439</v>
      </c>
      <c r="H301" s="1" t="s">
        <v>439</v>
      </c>
      <c r="I301" s="1" t="s">
        <v>439</v>
      </c>
      <c r="J301" s="1" t="s">
        <v>439</v>
      </c>
      <c r="K301" s="1" t="s">
        <v>439</v>
      </c>
    </row>
  </sheetData>
  <mergeCells count="5">
    <mergeCell ref="D3:K3"/>
    <mergeCell ref="E8:K8"/>
    <mergeCell ref="G9:H9"/>
    <mergeCell ref="E13:I13"/>
    <mergeCell ref="E7:K7"/>
  </mergeCells>
  <conditionalFormatting sqref="D18:N300">
    <cfRule type="expression" dxfId="0" priority="1">
      <formula>$D18&lt;&gt;""</formula>
    </cfRule>
  </conditionalFormatting>
  <dataValidations count="2">
    <dataValidation type="list" allowBlank="1" showInputMessage="1" sqref="E6">
      <formula1>MeetingCategory</formula1>
    </dataValidation>
    <dataValidation allowBlank="1" showInputMessage="1" sqref="E7:K7"/>
  </dataValidations>
  <hyperlinks>
    <hyperlink ref="B2" location="Dashboard!A1" display="Dashboard"/>
    <hyperlink ref="B4" location="'TD Planner'!A1" display="TD Planner"/>
    <hyperlink ref="B9" location="'Urgent Escalation'!A1" display="Urgent Escalation"/>
    <hyperlink ref="B13" location="'Existing Bonus File'!A1" display="Contact Review File"/>
    <hyperlink ref="B6" location="'Employee Management'!A1" display="Staff Record"/>
    <hyperlink ref="B11" location="PDP!A1" display="PDP"/>
    <hyperlink ref="B15" location="'Meeting Log'!A1" display="Meeting Log"/>
  </hyperlink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4">
        <x14:dataValidation type="list" allowBlank="1" showInputMessage="1">
          <x14:formula1>
            <xm:f>'[Asian CS Team Development Hub - Team Leader Version.xlsm]Staffs'!#REF!</xm:f>
          </x14:formula1>
          <xm:sqref>E14</xm:sqref>
        </x14:dataValidation>
        <x14:dataValidation type="list" allowBlank="1" showInputMessage="1">
          <x14:formula1>
            <xm:f>Staffs!$A:$A</xm:f>
          </x14:formula1>
          <xm:sqref>E5</xm:sqref>
        </x14:dataValidation>
        <x14:dataValidation type="list" allowBlank="1" showInputMessage="1">
          <x14:formula1>
            <xm:f>Supervisor!$A:$A</xm:f>
          </x14:formula1>
          <xm:sqref>K6</xm:sqref>
        </x14:dataValidation>
        <x14:dataValidation type="list" allowBlank="1" showInputMessage="1">
          <x14:formula1>
            <xm:f>TeamLeader!$A:$A</xm:f>
          </x14:formula1>
          <xm:sqref>J14</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123</vt:i4>
      </vt:variant>
    </vt:vector>
  </HeadingPairs>
  <TitlesOfParts>
    <vt:vector size="142" baseType="lpstr">
      <vt:lpstr>All Contacts</vt:lpstr>
      <vt:lpstr>Dashboard</vt:lpstr>
      <vt:lpstr>Performance Stats</vt:lpstr>
      <vt:lpstr>TD Planner</vt:lpstr>
      <vt:lpstr>New Bonus File</vt:lpstr>
      <vt:lpstr>Staffs</vt:lpstr>
      <vt:lpstr>Existing Bonus File</vt:lpstr>
      <vt:lpstr>TeamLeader</vt:lpstr>
      <vt:lpstr>Supervisor</vt:lpstr>
      <vt:lpstr>ColumnName</vt:lpstr>
      <vt:lpstr>Employee Management</vt:lpstr>
      <vt:lpstr>Configuration</vt:lpstr>
      <vt:lpstr>Sheet1</vt:lpstr>
      <vt:lpstr>Sheet2</vt:lpstr>
      <vt:lpstr>Email Content</vt:lpstr>
      <vt:lpstr>EmailAddress</vt:lpstr>
      <vt:lpstr>Urgent Escalation</vt:lpstr>
      <vt:lpstr>PDP</vt:lpstr>
      <vt:lpstr>Meeting Log</vt:lpstr>
      <vt:lpstr>Band</vt:lpstr>
      <vt:lpstr>ContactMethod</vt:lpstr>
      <vt:lpstr>DashboardPeriod</vt:lpstr>
      <vt:lpstr>DashboardSupervisor</vt:lpstr>
      <vt:lpstr>DashboardYear</vt:lpstr>
      <vt:lpstr>EmailUrgentEscalationMeetingFile</vt:lpstr>
      <vt:lpstr>EmailUrgentEscalationReviewFile</vt:lpstr>
      <vt:lpstr>EmployeeBandAFile</vt:lpstr>
      <vt:lpstr>EmployeeBandAFileLink</vt:lpstr>
      <vt:lpstr>EmployeeBandBFile</vt:lpstr>
      <vt:lpstr>EmployeeBandBFileLink</vt:lpstr>
      <vt:lpstr>EmployeeBanding</vt:lpstr>
      <vt:lpstr>EmployeeCToolName</vt:lpstr>
      <vt:lpstr>EmployeeName</vt:lpstr>
      <vt:lpstr>EmployeePeriod</vt:lpstr>
      <vt:lpstr>EmployeeRole</vt:lpstr>
      <vt:lpstr>EmployeeShift</vt:lpstr>
      <vt:lpstr>EmployeeStaffLogFile</vt:lpstr>
      <vt:lpstr>EmployeeStaffLogLink</vt:lpstr>
      <vt:lpstr>'Performance Stats'!EmployeeSUP</vt:lpstr>
      <vt:lpstr>EmployeeSUP</vt:lpstr>
      <vt:lpstr>EmployeeTeam</vt:lpstr>
      <vt:lpstr>EmployeeTL</vt:lpstr>
      <vt:lpstr>EmployeeUsername</vt:lpstr>
      <vt:lpstr>EmployeeVerintName</vt:lpstr>
      <vt:lpstr>EmployeeYear</vt:lpstr>
      <vt:lpstr>EscalationActionTaken</vt:lpstr>
      <vt:lpstr>EscalationActionTakenBy</vt:lpstr>
      <vt:lpstr>EscalationAdvisorName</vt:lpstr>
      <vt:lpstr>EscalationAdvisorSearch</vt:lpstr>
      <vt:lpstr>EscalationCaseID</vt:lpstr>
      <vt:lpstr>EscalationContactDate</vt:lpstr>
      <vt:lpstr>EscalationContactID</vt:lpstr>
      <vt:lpstr>EscalationExpectation</vt:lpstr>
      <vt:lpstr>EscalationID</vt:lpstr>
      <vt:lpstr>EscalationMeetingFile</vt:lpstr>
      <vt:lpstr>EscalationMeetingLink</vt:lpstr>
      <vt:lpstr>EscalationReason</vt:lpstr>
      <vt:lpstr>EscalationReasonforAction</vt:lpstr>
      <vt:lpstr>EscalationReviewFile</vt:lpstr>
      <vt:lpstr>EscalationReviewLink</vt:lpstr>
      <vt:lpstr>EscalationReviewOutcome</vt:lpstr>
      <vt:lpstr>EscalationTeamLeader</vt:lpstr>
      <vt:lpstr>EscalationTLSearch</vt:lpstr>
      <vt:lpstr>EscalationUsername</vt:lpstr>
      <vt:lpstr>ExistingTL</vt:lpstr>
      <vt:lpstr>InitalPeriod</vt:lpstr>
      <vt:lpstr>InitialDate</vt:lpstr>
      <vt:lpstr>InitialYear</vt:lpstr>
      <vt:lpstr>LoginName</vt:lpstr>
      <vt:lpstr>MainPeriod</vt:lpstr>
      <vt:lpstr>MainSupervisor</vt:lpstr>
      <vt:lpstr>MainYear</vt:lpstr>
      <vt:lpstr>MeetingAdvisor</vt:lpstr>
      <vt:lpstr>MeetingCate</vt:lpstr>
      <vt:lpstr>MeetingCategory</vt:lpstr>
      <vt:lpstr>MeetingComment</vt:lpstr>
      <vt:lpstr>MeetingDate</vt:lpstr>
      <vt:lpstr>MeetingExpireDate</vt:lpstr>
      <vt:lpstr>MeetingFile</vt:lpstr>
      <vt:lpstr>MeetingHistoricalName</vt:lpstr>
      <vt:lpstr>MeetingHistoricalTL</vt:lpstr>
      <vt:lpstr>MeetingHost</vt:lpstr>
      <vt:lpstr>MeetingID</vt:lpstr>
      <vt:lpstr>MeetingLink</vt:lpstr>
      <vt:lpstr>MeetingRoom</vt:lpstr>
      <vt:lpstr>MeetingSearchID</vt:lpstr>
      <vt:lpstr>MeetingTime</vt:lpstr>
      <vt:lpstr>NewAdvisor</vt:lpstr>
      <vt:lpstr>NewBanding</vt:lpstr>
      <vt:lpstr>NewFileName</vt:lpstr>
      <vt:lpstr>NewFolder</vt:lpstr>
      <vt:lpstr>NewLineTL</vt:lpstr>
      <vt:lpstr>NewLink</vt:lpstr>
      <vt:lpstr>NewPeriod</vt:lpstr>
      <vt:lpstr>NewSupervisor</vt:lpstr>
      <vt:lpstr>NewTDDate</vt:lpstr>
      <vt:lpstr>NewTDEndTime</vt:lpstr>
      <vt:lpstr>NewTDID</vt:lpstr>
      <vt:lpstr>NewTDName</vt:lpstr>
      <vt:lpstr>NewTDSlot</vt:lpstr>
      <vt:lpstr>NewTDStartTime</vt:lpstr>
      <vt:lpstr>NewTDWeekDate</vt:lpstr>
      <vt:lpstr>NewTL</vt:lpstr>
      <vt:lpstr>NewYear</vt:lpstr>
      <vt:lpstr>OAdvisor</vt:lpstr>
      <vt:lpstr>OBanding</vt:lpstr>
      <vt:lpstr>OFile</vt:lpstr>
      <vt:lpstr>OFolder</vt:lpstr>
      <vt:lpstr>OLink</vt:lpstr>
      <vt:lpstr>OPeriod</vt:lpstr>
      <vt:lpstr>OSupervisor</vt:lpstr>
      <vt:lpstr>OYear</vt:lpstr>
      <vt:lpstr>PDPAdvisor</vt:lpstr>
      <vt:lpstr>PDPArea</vt:lpstr>
      <vt:lpstr>PDPDate</vt:lpstr>
      <vt:lpstr>PDPFile</vt:lpstr>
      <vt:lpstr>PDPHistoricalName</vt:lpstr>
      <vt:lpstr>PDPHistoricalTL</vt:lpstr>
      <vt:lpstr>PDPID</vt:lpstr>
      <vt:lpstr>PDPLink</vt:lpstr>
      <vt:lpstr>PDPSearchID</vt:lpstr>
      <vt:lpstr>PDPSouce</vt:lpstr>
      <vt:lpstr>PDPSource</vt:lpstr>
      <vt:lpstr>PDPStatus</vt:lpstr>
      <vt:lpstr>PerformanceStatsPeriod</vt:lpstr>
      <vt:lpstr>PerformanceStatsSupervisor</vt:lpstr>
      <vt:lpstr>PerformanceStatsYear</vt:lpstr>
      <vt:lpstr>Periods</vt:lpstr>
      <vt:lpstr>Shift</vt:lpstr>
      <vt:lpstr>StaffLogLink</vt:lpstr>
      <vt:lpstr>Statues</vt:lpstr>
      <vt:lpstr>TDDate</vt:lpstr>
      <vt:lpstr>UrgentDevelopArea</vt:lpstr>
      <vt:lpstr>UrgentEscalationContactMethod</vt:lpstr>
      <vt:lpstr>UrgentEscalationDefaultDate</vt:lpstr>
      <vt:lpstr>UrgentEscalationDefaultID</vt:lpstr>
      <vt:lpstr>UrgentEscalationOutput</vt:lpstr>
      <vt:lpstr>UrgentPDPDate</vt:lpstr>
      <vt:lpstr>UrgentPDPFile</vt:lpstr>
      <vt:lpstr>UrgentPDPID</vt:lpstr>
      <vt:lpstr>UrgentPDPLink</vt:lpstr>
      <vt:lpstr>UrgentPDPSource</vt:lpstr>
    </vt:vector>
  </TitlesOfParts>
  <Company>Hillside New Media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Mingtao Zhang</dc:creator>
  <cp:lastModifiedBy>Mingtao Zhang</cp:lastModifiedBy>
  <dcterms:created xsi:type="dcterms:W3CDTF">2024-10-03T19:58:35Z</dcterms:created>
  <dcterms:modified xsi:type="dcterms:W3CDTF">2025-02-09T09:31:20Z</dcterms:modified>
</cp:coreProperties>
</file>